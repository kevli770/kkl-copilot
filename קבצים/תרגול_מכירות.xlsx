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מכירות" sheetId="1" state="visible" r:id="rId3"/>
    <sheet name="קטלוג מוצרים" sheetId="2" state="visible" r:id="rId4"/>
    <sheet name="אנשי מכירות" sheetId="3" state="visible" r:id="rId5"/>
    <sheet name="דוח לניתוח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<sst xmlns="http://schemas.openxmlformats.org/spreadsheetml/2006/main" count="279" uniqueCount="107">
  <si>
    <t xml:space="preserve">תאריך</t>
  </si>
  <si>
    <t xml:space="preserve">אזור</t>
  </si>
  <si>
    <t xml:space="preserve">קוד מוצר</t>
  </si>
  <si>
    <t xml:space="preserve">שם מוצר</t>
  </si>
  <si>
    <t xml:space="preserve">איש מכירות</t>
  </si>
  <si>
    <t xml:space="preserve">כמות</t>
  </si>
  <si>
    <t xml:space="preserve">מחיר יחידה</t>
  </si>
  <si>
    <t xml:space="preserve">סכום לפני הנחה</t>
  </si>
  <si>
    <t xml:space="preserve">הנחה %</t>
  </si>
  <si>
    <t xml:space="preserve">סכום סופי</t>
  </si>
  <si>
    <t xml:space="preserve">2025-01-05</t>
  </si>
  <si>
    <t xml:space="preserve">צפון</t>
  </si>
  <si>
    <t xml:space="preserve">P101</t>
  </si>
  <si>
    <t xml:space="preserve">מחשב נייד</t>
  </si>
  <si>
    <t xml:space="preserve">דניאל כהן</t>
  </si>
  <si>
    <t xml:space="preserve">2025-01-07</t>
  </si>
  <si>
    <t xml:space="preserve">מרכז</t>
  </si>
  <si>
    <t xml:space="preserve">P102</t>
  </si>
  <si>
    <t xml:space="preserve">מסך 27 אינץ'</t>
  </si>
  <si>
    <t xml:space="preserve">רונית לוי</t>
  </si>
  <si>
    <t xml:space="preserve">2025-01-09</t>
  </si>
  <si>
    <t xml:space="preserve">דרום</t>
  </si>
  <si>
    <t xml:space="preserve">P103</t>
  </si>
  <si>
    <t xml:space="preserve">מקלדת אלחוטית</t>
  </si>
  <si>
    <t xml:space="preserve">אבי ישראלי</t>
  </si>
  <si>
    <t xml:space="preserve">2025-01-12</t>
  </si>
  <si>
    <t xml:space="preserve">ירושלים</t>
  </si>
  <si>
    <t xml:space="preserve">שירה בן-דוד</t>
  </si>
  <si>
    <t xml:space="preserve">2025-01-15</t>
  </si>
  <si>
    <t xml:space="preserve">P104</t>
  </si>
  <si>
    <t xml:space="preserve">עכבר אלחוטי</t>
  </si>
  <si>
    <t xml:space="preserve">2025-01-18</t>
  </si>
  <si>
    <t xml:space="preserve">P105</t>
  </si>
  <si>
    <t xml:space="preserve">רמקולים</t>
  </si>
  <si>
    <t xml:space="preserve">2025-01-22</t>
  </si>
  <si>
    <t xml:space="preserve">2025-01-25</t>
  </si>
  <si>
    <t xml:space="preserve">2025-02-02</t>
  </si>
  <si>
    <t xml:space="preserve">2025-02-05</t>
  </si>
  <si>
    <t xml:space="preserve">P106</t>
  </si>
  <si>
    <t xml:space="preserve">כיסא משרדי</t>
  </si>
  <si>
    <t xml:space="preserve">2025-02-08</t>
  </si>
  <si>
    <t xml:space="preserve">2025-02-11</t>
  </si>
  <si>
    <t xml:space="preserve">2025-02-14</t>
  </si>
  <si>
    <t xml:space="preserve">P107</t>
  </si>
  <si>
    <t xml:space="preserve">מדפסת</t>
  </si>
  <si>
    <t xml:space="preserve">2025-02-18</t>
  </si>
  <si>
    <t xml:space="preserve">2025-02-22</t>
  </si>
  <si>
    <t xml:space="preserve">2025-02-26</t>
  </si>
  <si>
    <t xml:space="preserve">2025-03-01</t>
  </si>
  <si>
    <t xml:space="preserve">P108</t>
  </si>
  <si>
    <t xml:space="preserve">מצלמת רשת</t>
  </si>
  <si>
    <t xml:space="preserve">2025-03-05</t>
  </si>
  <si>
    <t xml:space="preserve">2025-03-08</t>
  </si>
  <si>
    <t xml:space="preserve">2025-03-12</t>
  </si>
  <si>
    <t xml:space="preserve">2025-03-15</t>
  </si>
  <si>
    <t xml:space="preserve">2025-03-19</t>
  </si>
  <si>
    <t xml:space="preserve">2025-03-22</t>
  </si>
  <si>
    <t xml:space="preserve">2025-03-26</t>
  </si>
  <si>
    <t xml:space="preserve">2025-04-02</t>
  </si>
  <si>
    <t xml:space="preserve">2025-04-05</t>
  </si>
  <si>
    <t xml:space="preserve">2025-04-09</t>
  </si>
  <si>
    <t xml:space="preserve">2025-04-12</t>
  </si>
  <si>
    <t xml:space="preserve">2025-04-16</t>
  </si>
  <si>
    <t xml:space="preserve">2025-04-20</t>
  </si>
  <si>
    <t xml:space="preserve">2025-04-24</t>
  </si>
  <si>
    <t xml:space="preserve">2025-04-28</t>
  </si>
  <si>
    <t xml:space="preserve">2025-05-03</t>
  </si>
  <si>
    <t xml:space="preserve">2025-05-07</t>
  </si>
  <si>
    <t xml:space="preserve">2025-05-11</t>
  </si>
  <si>
    <t xml:space="preserve">2025-05-15</t>
  </si>
  <si>
    <t xml:space="preserve">2025-05-19</t>
  </si>
  <si>
    <t xml:space="preserve">2025-05-23</t>
  </si>
  <si>
    <t xml:space="preserve">2025-05-27</t>
  </si>
  <si>
    <t xml:space="preserve">2025-05-31</t>
  </si>
  <si>
    <t xml:space="preserve">קטגוריה</t>
  </si>
  <si>
    <t xml:space="preserve">מחיר רשמי</t>
  </si>
  <si>
    <t xml:space="preserve">ספק</t>
  </si>
  <si>
    <t xml:space="preserve">מלאי זמין</t>
  </si>
  <si>
    <t xml:space="preserve">מחשוב</t>
  </si>
  <si>
    <t xml:space="preserve">טכנו-פלוס</t>
  </si>
  <si>
    <t xml:space="preserve">אביזרים</t>
  </si>
  <si>
    <t xml:space="preserve">אקססורייז בע"מ</t>
  </si>
  <si>
    <t xml:space="preserve">אודיו</t>
  </si>
  <si>
    <t xml:space="preserve">סאונד פרו</t>
  </si>
  <si>
    <t xml:space="preserve">ריהוט</t>
  </si>
  <si>
    <t xml:space="preserve">משרד-פלוס</t>
  </si>
  <si>
    <t xml:space="preserve">שם איש מכירות</t>
  </si>
  <si>
    <t xml:space="preserve">אזור ראשי</t>
  </si>
  <si>
    <t xml:space="preserve">תפקיד</t>
  </si>
  <si>
    <t xml:space="preserve">תאריך תחילת עבודה</t>
  </si>
  <si>
    <t xml:space="preserve">יעד חודשי</t>
  </si>
  <si>
    <t xml:space="preserve">עמלה %</t>
  </si>
  <si>
    <t xml:space="preserve">מנהל אזור</t>
  </si>
  <si>
    <t xml:space="preserve">2021-03-15</t>
  </si>
  <si>
    <t xml:space="preserve">איש מכירות בכיר</t>
  </si>
  <si>
    <t xml:space="preserve">2022-06-01</t>
  </si>
  <si>
    <t xml:space="preserve">2023-01-10</t>
  </si>
  <si>
    <t xml:space="preserve">2022-09-20</t>
  </si>
  <si>
    <t xml:space="preserve">דוח ניתוח מכירות — גיליון תרגול</t>
  </si>
  <si>
    <t xml:space="preserve">בגיליון הזה תבנו את הניתוח שלכם בעזרת Copilot.</t>
  </si>
  <si>
    <t xml:space="preserve">הצעות למה לבקש מ-Copilot:</t>
  </si>
  <si>
    <t xml:space="preserve">• סכם את המכירות לפי אזור — טבלה מרכזת של סכום סופי לכל אזור</t>
  </si>
  <si>
    <t xml:space="preserve">• צור גרף עמודות המציג את ביצועי אנשי המכירות</t>
  </si>
  <si>
    <t xml:space="preserve">• הוסף עמודה של VLOOKUP שמחזירה את קטגוריית המוצר מגיליון 'קטלוג מוצרים'</t>
  </si>
  <si>
    <t xml:space="preserve">• חשב את העמלה שמגיעה לכל איש מכירות (סכום מכירות × אחוז עמלה)</t>
  </si>
  <si>
    <t xml:space="preserve">• זהה את המוצר עם הרווחיות הגבוהה ביותר ברבעון הראשון</t>
  </si>
  <si>
    <t xml:space="preserve">• צור טבלת ציר (Pivot) של מכירות לפי חודש ואזור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</si>
</sst>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₪#,##0"/>
    <numFmt numFmtId="167" formatCode="0%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6"/>
      <color rgb="FF2B5CAA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3"/>
      <color rgb="FF2B5CAA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B5CAA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2B5CA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1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6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4" t="s">
        <v>12</v>
      </c>
      <c r="D2" s="3" t="s">
        <v>13</v>
      </c>
      <c r="E2" s="3" t="s">
        <v>14</v>
      </c>
      <c r="F2" s="4" t="n">
        <v>3</v>
      </c>
      <c r="G2" s="5" t="n">
        <v>4500</v>
      </c>
      <c r="H2" s="5" t="n">
        <f aca="false">F2*G2</f>
        <v>13500</v>
      </c>
      <c r="I2" s="6" t="n">
        <v>0.05</v>
      </c>
      <c r="J2" s="5" t="n">
        <f aca="false">H2*(1-I2)</f>
        <v>12825</v>
      </c>
    </row>
    <row r="3" customFormat="false" ht="15" hidden="false" customHeight="false" outlineLevel="0" collapsed="false">
      <c r="A3" s="2" t="s">
        <v>15</v>
      </c>
      <c r="B3" s="3" t="s">
        <v>16</v>
      </c>
      <c r="C3" s="4" t="s">
        <v>17</v>
      </c>
      <c r="D3" s="3" t="s">
        <v>18</v>
      </c>
      <c r="E3" s="3" t="s">
        <v>19</v>
      </c>
      <c r="F3" s="4" t="n">
        <v>5</v>
      </c>
      <c r="G3" s="5" t="n">
        <v>1200</v>
      </c>
      <c r="H3" s="5" t="n">
        <f aca="false">F3*G3</f>
        <v>6000</v>
      </c>
      <c r="I3" s="6" t="n">
        <v>0</v>
      </c>
      <c r="J3" s="5" t="n">
        <f aca="false">H3*(1-I3)</f>
        <v>6000</v>
      </c>
    </row>
    <row r="4" customFormat="false" ht="15" hidden="false" customHeight="false" outlineLevel="0" collapsed="false">
      <c r="A4" s="2" t="s">
        <v>20</v>
      </c>
      <c r="B4" s="3" t="s">
        <v>21</v>
      </c>
      <c r="C4" s="4" t="s">
        <v>22</v>
      </c>
      <c r="D4" s="3" t="s">
        <v>23</v>
      </c>
      <c r="E4" s="3" t="s">
        <v>24</v>
      </c>
      <c r="F4" s="4" t="n">
        <v>10</v>
      </c>
      <c r="G4" s="5" t="n">
        <v>280</v>
      </c>
      <c r="H4" s="5" t="n">
        <f aca="false">F4*G4</f>
        <v>2800</v>
      </c>
      <c r="I4" s="6" t="n">
        <v>0.1</v>
      </c>
      <c r="J4" s="5" t="n">
        <f aca="false">H4*(1-I4)</f>
        <v>2520</v>
      </c>
    </row>
    <row r="5" customFormat="false" ht="15" hidden="false" customHeight="false" outlineLevel="0" collapsed="false">
      <c r="A5" s="2" t="s">
        <v>25</v>
      </c>
      <c r="B5" s="3" t="s">
        <v>26</v>
      </c>
      <c r="C5" s="4" t="s">
        <v>12</v>
      </c>
      <c r="D5" s="3" t="s">
        <v>13</v>
      </c>
      <c r="E5" s="3" t="s">
        <v>27</v>
      </c>
      <c r="F5" s="4" t="n">
        <v>2</v>
      </c>
      <c r="G5" s="5" t="n">
        <v>4500</v>
      </c>
      <c r="H5" s="5" t="n">
        <f aca="false">F5*G5</f>
        <v>9000</v>
      </c>
      <c r="I5" s="6" t="n">
        <v>0</v>
      </c>
      <c r="J5" s="5" t="n">
        <f aca="false">H5*(1-I5)</f>
        <v>9000</v>
      </c>
    </row>
    <row r="6" customFormat="false" ht="15" hidden="false" customHeight="false" outlineLevel="0" collapsed="false">
      <c r="A6" s="2" t="s">
        <v>28</v>
      </c>
      <c r="B6" s="3" t="s">
        <v>11</v>
      </c>
      <c r="C6" s="4" t="s">
        <v>29</v>
      </c>
      <c r="D6" s="3" t="s">
        <v>30</v>
      </c>
      <c r="E6" s="3" t="s">
        <v>14</v>
      </c>
      <c r="F6" s="4" t="n">
        <v>15</v>
      </c>
      <c r="G6" s="5" t="n">
        <v>120</v>
      </c>
      <c r="H6" s="5" t="n">
        <f aca="false">F6*G6</f>
        <v>1800</v>
      </c>
      <c r="I6" s="6" t="n">
        <v>0.05</v>
      </c>
      <c r="J6" s="5" t="n">
        <f aca="false">H6*(1-I6)</f>
        <v>1710</v>
      </c>
    </row>
    <row r="7" customFormat="false" ht="15" hidden="false" customHeight="false" outlineLevel="0" collapsed="false">
      <c r="A7" s="2" t="s">
        <v>31</v>
      </c>
      <c r="B7" s="3" t="s">
        <v>16</v>
      </c>
      <c r="C7" s="4" t="s">
        <v>32</v>
      </c>
      <c r="D7" s="3" t="s">
        <v>33</v>
      </c>
      <c r="E7" s="3" t="s">
        <v>19</v>
      </c>
      <c r="F7" s="4" t="n">
        <v>4</v>
      </c>
      <c r="G7" s="5" t="n">
        <v>650</v>
      </c>
      <c r="H7" s="5" t="n">
        <f aca="false">F7*G7</f>
        <v>2600</v>
      </c>
      <c r="I7" s="6" t="n">
        <v>0</v>
      </c>
      <c r="J7" s="5" t="n">
        <f aca="false">H7*(1-I7)</f>
        <v>2600</v>
      </c>
    </row>
    <row r="8" customFormat="false" ht="15" hidden="false" customHeight="false" outlineLevel="0" collapsed="false">
      <c r="A8" s="2" t="s">
        <v>34</v>
      </c>
      <c r="B8" s="3" t="s">
        <v>21</v>
      </c>
      <c r="C8" s="4" t="s">
        <v>12</v>
      </c>
      <c r="D8" s="3" t="s">
        <v>13</v>
      </c>
      <c r="E8" s="3" t="s">
        <v>24</v>
      </c>
      <c r="F8" s="4" t="n">
        <v>1</v>
      </c>
      <c r="G8" s="5" t="n">
        <v>4500</v>
      </c>
      <c r="H8" s="5" t="n">
        <f aca="false">F8*G8</f>
        <v>4500</v>
      </c>
      <c r="I8" s="6" t="n">
        <v>0</v>
      </c>
      <c r="J8" s="5" t="n">
        <f aca="false">H8*(1-I8)</f>
        <v>4500</v>
      </c>
    </row>
    <row r="9" customFormat="false" ht="15" hidden="false" customHeight="false" outlineLevel="0" collapsed="false">
      <c r="A9" s="2" t="s">
        <v>35</v>
      </c>
      <c r="B9" s="3" t="s">
        <v>26</v>
      </c>
      <c r="C9" s="4" t="s">
        <v>17</v>
      </c>
      <c r="D9" s="3" t="s">
        <v>18</v>
      </c>
      <c r="E9" s="3" t="s">
        <v>27</v>
      </c>
      <c r="F9" s="4" t="n">
        <v>3</v>
      </c>
      <c r="G9" s="5" t="n">
        <v>1200</v>
      </c>
      <c r="H9" s="5" t="n">
        <f aca="false">F9*G9</f>
        <v>3600</v>
      </c>
      <c r="I9" s="6" t="n">
        <v>0.08</v>
      </c>
      <c r="J9" s="5" t="n">
        <f aca="false">H9*(1-I9)</f>
        <v>3312</v>
      </c>
    </row>
    <row r="10" customFormat="false" ht="15" hidden="false" customHeight="false" outlineLevel="0" collapsed="false">
      <c r="A10" s="2" t="s">
        <v>36</v>
      </c>
      <c r="B10" s="3" t="s">
        <v>11</v>
      </c>
      <c r="C10" s="4" t="s">
        <v>22</v>
      </c>
      <c r="D10" s="3" t="s">
        <v>23</v>
      </c>
      <c r="E10" s="3" t="s">
        <v>14</v>
      </c>
      <c r="F10" s="4" t="n">
        <v>8</v>
      </c>
      <c r="G10" s="5" t="n">
        <v>280</v>
      </c>
      <c r="H10" s="5" t="n">
        <f aca="false">F10*G10</f>
        <v>2240</v>
      </c>
      <c r="I10" s="6" t="n">
        <v>0.1</v>
      </c>
      <c r="J10" s="5" t="n">
        <f aca="false">H10*(1-I10)</f>
        <v>2016</v>
      </c>
    </row>
    <row r="11" customFormat="false" ht="15" hidden="false" customHeight="false" outlineLevel="0" collapsed="false">
      <c r="A11" s="2" t="s">
        <v>37</v>
      </c>
      <c r="B11" s="3" t="s">
        <v>16</v>
      </c>
      <c r="C11" s="4" t="s">
        <v>38</v>
      </c>
      <c r="D11" s="3" t="s">
        <v>39</v>
      </c>
      <c r="E11" s="3" t="s">
        <v>19</v>
      </c>
      <c r="F11" s="4" t="n">
        <v>6</v>
      </c>
      <c r="G11" s="5" t="n">
        <v>850</v>
      </c>
      <c r="H11" s="5" t="n">
        <f aca="false">F11*G11</f>
        <v>5100</v>
      </c>
      <c r="I11" s="6" t="n">
        <v>0</v>
      </c>
      <c r="J11" s="5" t="n">
        <f aca="false">H11*(1-I11)</f>
        <v>5100</v>
      </c>
    </row>
    <row r="12" customFormat="false" ht="15" hidden="false" customHeight="false" outlineLevel="0" collapsed="false">
      <c r="A12" s="2" t="s">
        <v>40</v>
      </c>
      <c r="B12" s="3" t="s">
        <v>21</v>
      </c>
      <c r="C12" s="4" t="s">
        <v>29</v>
      </c>
      <c r="D12" s="3" t="s">
        <v>30</v>
      </c>
      <c r="E12" s="3" t="s">
        <v>24</v>
      </c>
      <c r="F12" s="4" t="n">
        <v>20</v>
      </c>
      <c r="G12" s="5" t="n">
        <v>120</v>
      </c>
      <c r="H12" s="5" t="n">
        <f aca="false">F12*G12</f>
        <v>2400</v>
      </c>
      <c r="I12" s="6" t="n">
        <v>0.15</v>
      </c>
      <c r="J12" s="5" t="n">
        <f aca="false">H12*(1-I12)</f>
        <v>2040</v>
      </c>
    </row>
    <row r="13" customFormat="false" ht="15" hidden="false" customHeight="false" outlineLevel="0" collapsed="false">
      <c r="A13" s="2" t="s">
        <v>41</v>
      </c>
      <c r="B13" s="3" t="s">
        <v>26</v>
      </c>
      <c r="C13" s="4" t="s">
        <v>32</v>
      </c>
      <c r="D13" s="3" t="s">
        <v>33</v>
      </c>
      <c r="E13" s="3" t="s">
        <v>27</v>
      </c>
      <c r="F13" s="4" t="n">
        <v>2</v>
      </c>
      <c r="G13" s="5" t="n">
        <v>650</v>
      </c>
      <c r="H13" s="5" t="n">
        <f aca="false">F13*G13</f>
        <v>1300</v>
      </c>
      <c r="I13" s="6" t="n">
        <v>0</v>
      </c>
      <c r="J13" s="5" t="n">
        <f aca="false">H13*(1-I13)</f>
        <v>1300</v>
      </c>
    </row>
    <row r="14" customFormat="false" ht="15" hidden="false" customHeight="false" outlineLevel="0" collapsed="false">
      <c r="A14" s="2" t="s">
        <v>42</v>
      </c>
      <c r="B14" s="3" t="s">
        <v>11</v>
      </c>
      <c r="C14" s="4" t="s">
        <v>43</v>
      </c>
      <c r="D14" s="3" t="s">
        <v>44</v>
      </c>
      <c r="E14" s="3" t="s">
        <v>14</v>
      </c>
      <c r="F14" s="4" t="n">
        <v>2</v>
      </c>
      <c r="G14" s="5" t="n">
        <v>1800</v>
      </c>
      <c r="H14" s="5" t="n">
        <f aca="false">F14*G14</f>
        <v>3600</v>
      </c>
      <c r="I14" s="6" t="n">
        <v>0.05</v>
      </c>
      <c r="J14" s="5" t="n">
        <f aca="false">H14*(1-I14)</f>
        <v>3420</v>
      </c>
    </row>
    <row r="15" customFormat="false" ht="15" hidden="false" customHeight="false" outlineLevel="0" collapsed="false">
      <c r="A15" s="2" t="s">
        <v>45</v>
      </c>
      <c r="B15" s="3" t="s">
        <v>16</v>
      </c>
      <c r="C15" s="4" t="s">
        <v>12</v>
      </c>
      <c r="D15" s="3" t="s">
        <v>13</v>
      </c>
      <c r="E15" s="3" t="s">
        <v>19</v>
      </c>
      <c r="F15" s="4" t="n">
        <v>4</v>
      </c>
      <c r="G15" s="5" t="n">
        <v>4500</v>
      </c>
      <c r="H15" s="5" t="n">
        <f aca="false">F15*G15</f>
        <v>18000</v>
      </c>
      <c r="I15" s="6" t="n">
        <v>0.1</v>
      </c>
      <c r="J15" s="5" t="n">
        <f aca="false">H15*(1-I15)</f>
        <v>16200</v>
      </c>
    </row>
    <row r="16" customFormat="false" ht="15" hidden="false" customHeight="false" outlineLevel="0" collapsed="false">
      <c r="A16" s="2" t="s">
        <v>46</v>
      </c>
      <c r="B16" s="3" t="s">
        <v>21</v>
      </c>
      <c r="C16" s="4" t="s">
        <v>17</v>
      </c>
      <c r="D16" s="3" t="s">
        <v>18</v>
      </c>
      <c r="E16" s="3" t="s">
        <v>24</v>
      </c>
      <c r="F16" s="4" t="n">
        <v>7</v>
      </c>
      <c r="G16" s="5" t="n">
        <v>1200</v>
      </c>
      <c r="H16" s="5" t="n">
        <f aca="false">F16*G16</f>
        <v>8400</v>
      </c>
      <c r="I16" s="6" t="n">
        <v>0</v>
      </c>
      <c r="J16" s="5" t="n">
        <f aca="false">H16*(1-I16)</f>
        <v>8400</v>
      </c>
    </row>
    <row r="17" customFormat="false" ht="15" hidden="false" customHeight="false" outlineLevel="0" collapsed="false">
      <c r="A17" s="2" t="s">
        <v>47</v>
      </c>
      <c r="B17" s="3" t="s">
        <v>26</v>
      </c>
      <c r="C17" s="4" t="s">
        <v>38</v>
      </c>
      <c r="D17" s="3" t="s">
        <v>39</v>
      </c>
      <c r="E17" s="3" t="s">
        <v>27</v>
      </c>
      <c r="F17" s="4" t="n">
        <v>10</v>
      </c>
      <c r="G17" s="5" t="n">
        <v>850</v>
      </c>
      <c r="H17" s="5" t="n">
        <f aca="false">F17*G17</f>
        <v>8500</v>
      </c>
      <c r="I17" s="6" t="n">
        <v>0.05</v>
      </c>
      <c r="J17" s="5" t="n">
        <f aca="false">H17*(1-I17)</f>
        <v>8075</v>
      </c>
    </row>
    <row r="18" customFormat="false" ht="15" hidden="false" customHeight="false" outlineLevel="0" collapsed="false">
      <c r="A18" s="2" t="s">
        <v>48</v>
      </c>
      <c r="B18" s="3" t="s">
        <v>11</v>
      </c>
      <c r="C18" s="4" t="s">
        <v>49</v>
      </c>
      <c r="D18" s="3" t="s">
        <v>50</v>
      </c>
      <c r="E18" s="3" t="s">
        <v>14</v>
      </c>
      <c r="F18" s="4" t="n">
        <v>12</v>
      </c>
      <c r="G18" s="5" t="n">
        <v>340</v>
      </c>
      <c r="H18" s="5" t="n">
        <f aca="false">F18*G18</f>
        <v>4080</v>
      </c>
      <c r="I18" s="6" t="n">
        <v>0</v>
      </c>
      <c r="J18" s="5" t="n">
        <f aca="false">H18*(1-I18)</f>
        <v>4080</v>
      </c>
    </row>
    <row r="19" customFormat="false" ht="15" hidden="false" customHeight="false" outlineLevel="0" collapsed="false">
      <c r="A19" s="2" t="s">
        <v>51</v>
      </c>
      <c r="B19" s="3" t="s">
        <v>16</v>
      </c>
      <c r="C19" s="4" t="s">
        <v>22</v>
      </c>
      <c r="D19" s="3" t="s">
        <v>23</v>
      </c>
      <c r="E19" s="3" t="s">
        <v>19</v>
      </c>
      <c r="F19" s="4" t="n">
        <v>6</v>
      </c>
      <c r="G19" s="5" t="n">
        <v>280</v>
      </c>
      <c r="H19" s="5" t="n">
        <f aca="false">F19*G19</f>
        <v>1680</v>
      </c>
      <c r="I19" s="6" t="n">
        <v>0.05</v>
      </c>
      <c r="J19" s="5" t="n">
        <f aca="false">H19*(1-I19)</f>
        <v>1596</v>
      </c>
    </row>
    <row r="20" customFormat="false" ht="15" hidden="false" customHeight="false" outlineLevel="0" collapsed="false">
      <c r="A20" s="2" t="s">
        <v>52</v>
      </c>
      <c r="B20" s="3" t="s">
        <v>21</v>
      </c>
      <c r="C20" s="4" t="s">
        <v>43</v>
      </c>
      <c r="D20" s="3" t="s">
        <v>44</v>
      </c>
      <c r="E20" s="3" t="s">
        <v>24</v>
      </c>
      <c r="F20" s="4" t="n">
        <v>3</v>
      </c>
      <c r="G20" s="5" t="n">
        <v>1800</v>
      </c>
      <c r="H20" s="5" t="n">
        <f aca="false">F20*G20</f>
        <v>5400</v>
      </c>
      <c r="I20" s="6" t="n">
        <v>0</v>
      </c>
      <c r="J20" s="5" t="n">
        <f aca="false">H20*(1-I20)</f>
        <v>5400</v>
      </c>
    </row>
    <row r="21" customFormat="false" ht="15" hidden="false" customHeight="false" outlineLevel="0" collapsed="false">
      <c r="A21" s="2" t="s">
        <v>53</v>
      </c>
      <c r="B21" s="3" t="s">
        <v>26</v>
      </c>
      <c r="C21" s="4" t="s">
        <v>12</v>
      </c>
      <c r="D21" s="3" t="s">
        <v>13</v>
      </c>
      <c r="E21" s="3" t="s">
        <v>27</v>
      </c>
      <c r="F21" s="4" t="n">
        <v>5</v>
      </c>
      <c r="G21" s="5" t="n">
        <v>4500</v>
      </c>
      <c r="H21" s="5" t="n">
        <f aca="false">F21*G21</f>
        <v>22500</v>
      </c>
      <c r="I21" s="6" t="n">
        <v>0.15</v>
      </c>
      <c r="J21" s="5" t="n">
        <f aca="false">H21*(1-I21)</f>
        <v>19125</v>
      </c>
    </row>
    <row r="22" customFormat="false" ht="15" hidden="false" customHeight="false" outlineLevel="0" collapsed="false">
      <c r="A22" s="2" t="s">
        <v>54</v>
      </c>
      <c r="B22" s="3" t="s">
        <v>11</v>
      </c>
      <c r="C22" s="4" t="s">
        <v>29</v>
      </c>
      <c r="D22" s="3" t="s">
        <v>30</v>
      </c>
      <c r="E22" s="3" t="s">
        <v>14</v>
      </c>
      <c r="F22" s="4" t="n">
        <v>25</v>
      </c>
      <c r="G22" s="5" t="n">
        <v>120</v>
      </c>
      <c r="H22" s="5" t="n">
        <f aca="false">F22*G22</f>
        <v>3000</v>
      </c>
      <c r="I22" s="6" t="n">
        <v>0.1</v>
      </c>
      <c r="J22" s="5" t="n">
        <f aca="false">H22*(1-I22)</f>
        <v>2700</v>
      </c>
    </row>
    <row r="23" customFormat="false" ht="15" hidden="false" customHeight="false" outlineLevel="0" collapsed="false">
      <c r="A23" s="2" t="s">
        <v>55</v>
      </c>
      <c r="B23" s="3" t="s">
        <v>16</v>
      </c>
      <c r="C23" s="4" t="s">
        <v>32</v>
      </c>
      <c r="D23" s="3" t="s">
        <v>33</v>
      </c>
      <c r="E23" s="3" t="s">
        <v>19</v>
      </c>
      <c r="F23" s="4" t="n">
        <v>8</v>
      </c>
      <c r="G23" s="5" t="n">
        <v>650</v>
      </c>
      <c r="H23" s="5" t="n">
        <f aca="false">F23*G23</f>
        <v>5200</v>
      </c>
      <c r="I23" s="6" t="n">
        <v>0</v>
      </c>
      <c r="J23" s="5" t="n">
        <f aca="false">H23*(1-I23)</f>
        <v>5200</v>
      </c>
    </row>
    <row r="24" customFormat="false" ht="15" hidden="false" customHeight="false" outlineLevel="0" collapsed="false">
      <c r="A24" s="2" t="s">
        <v>56</v>
      </c>
      <c r="B24" s="3" t="s">
        <v>21</v>
      </c>
      <c r="C24" s="4" t="s">
        <v>49</v>
      </c>
      <c r="D24" s="3" t="s">
        <v>50</v>
      </c>
      <c r="E24" s="3" t="s">
        <v>24</v>
      </c>
      <c r="F24" s="4" t="n">
        <v>5</v>
      </c>
      <c r="G24" s="5" t="n">
        <v>340</v>
      </c>
      <c r="H24" s="5" t="n">
        <f aca="false">F24*G24</f>
        <v>1700</v>
      </c>
      <c r="I24" s="6" t="n">
        <v>0</v>
      </c>
      <c r="J24" s="5" t="n">
        <f aca="false">H24*(1-I24)</f>
        <v>1700</v>
      </c>
    </row>
    <row r="25" customFormat="false" ht="15" hidden="false" customHeight="false" outlineLevel="0" collapsed="false">
      <c r="A25" s="2" t="s">
        <v>57</v>
      </c>
      <c r="B25" s="3" t="s">
        <v>26</v>
      </c>
      <c r="C25" s="4" t="s">
        <v>17</v>
      </c>
      <c r="D25" s="3" t="s">
        <v>18</v>
      </c>
      <c r="E25" s="3" t="s">
        <v>27</v>
      </c>
      <c r="F25" s="4" t="n">
        <v>4</v>
      </c>
      <c r="G25" s="5" t="n">
        <v>1200</v>
      </c>
      <c r="H25" s="5" t="n">
        <f aca="false">F25*G25</f>
        <v>4800</v>
      </c>
      <c r="I25" s="6" t="n">
        <v>0.05</v>
      </c>
      <c r="J25" s="5" t="n">
        <f aca="false">H25*(1-I25)</f>
        <v>4560</v>
      </c>
    </row>
    <row r="26" customFormat="false" ht="15" hidden="false" customHeight="false" outlineLevel="0" collapsed="false">
      <c r="A26" s="2" t="s">
        <v>58</v>
      </c>
      <c r="B26" s="3" t="s">
        <v>11</v>
      </c>
      <c r="C26" s="4" t="s">
        <v>12</v>
      </c>
      <c r="D26" s="3" t="s">
        <v>13</v>
      </c>
      <c r="E26" s="3" t="s">
        <v>14</v>
      </c>
      <c r="F26" s="4" t="n">
        <v>2</v>
      </c>
      <c r="G26" s="5" t="n">
        <v>4500</v>
      </c>
      <c r="H26" s="5" t="n">
        <f aca="false">F26*G26</f>
        <v>9000</v>
      </c>
      <c r="I26" s="6" t="n">
        <v>0</v>
      </c>
      <c r="J26" s="5" t="n">
        <f aca="false">H26*(1-I26)</f>
        <v>9000</v>
      </c>
    </row>
    <row r="27" customFormat="false" ht="15" hidden="false" customHeight="false" outlineLevel="0" collapsed="false">
      <c r="A27" s="2" t="s">
        <v>59</v>
      </c>
      <c r="B27" s="3" t="s">
        <v>16</v>
      </c>
      <c r="C27" s="4" t="s">
        <v>38</v>
      </c>
      <c r="D27" s="3" t="s">
        <v>39</v>
      </c>
      <c r="E27" s="3" t="s">
        <v>19</v>
      </c>
      <c r="F27" s="4" t="n">
        <v>8</v>
      </c>
      <c r="G27" s="5" t="n">
        <v>850</v>
      </c>
      <c r="H27" s="5" t="n">
        <f aca="false">F27*G27</f>
        <v>6800</v>
      </c>
      <c r="I27" s="6" t="n">
        <v>0.05</v>
      </c>
      <c r="J27" s="5" t="n">
        <f aca="false">H27*(1-I27)</f>
        <v>6460</v>
      </c>
    </row>
    <row r="28" customFormat="false" ht="15" hidden="false" customHeight="false" outlineLevel="0" collapsed="false">
      <c r="A28" s="2" t="s">
        <v>60</v>
      </c>
      <c r="B28" s="3" t="s">
        <v>21</v>
      </c>
      <c r="C28" s="4" t="s">
        <v>22</v>
      </c>
      <c r="D28" s="3" t="s">
        <v>23</v>
      </c>
      <c r="E28" s="3" t="s">
        <v>24</v>
      </c>
      <c r="F28" s="4" t="n">
        <v>12</v>
      </c>
      <c r="G28" s="5" t="n">
        <v>280</v>
      </c>
      <c r="H28" s="5" t="n">
        <f aca="false">F28*G28</f>
        <v>3360</v>
      </c>
      <c r="I28" s="6" t="n">
        <v>0.1</v>
      </c>
      <c r="J28" s="5" t="n">
        <f aca="false">H28*(1-I28)</f>
        <v>3024</v>
      </c>
    </row>
    <row r="29" customFormat="false" ht="15" hidden="false" customHeight="false" outlineLevel="0" collapsed="false">
      <c r="A29" s="2" t="s">
        <v>61</v>
      </c>
      <c r="B29" s="3" t="s">
        <v>26</v>
      </c>
      <c r="C29" s="4" t="s">
        <v>43</v>
      </c>
      <c r="D29" s="3" t="s">
        <v>44</v>
      </c>
      <c r="E29" s="3" t="s">
        <v>27</v>
      </c>
      <c r="F29" s="4" t="n">
        <v>2</v>
      </c>
      <c r="G29" s="5" t="n">
        <v>1800</v>
      </c>
      <c r="H29" s="5" t="n">
        <f aca="false">F29*G29</f>
        <v>3600</v>
      </c>
      <c r="I29" s="6" t="n">
        <v>0</v>
      </c>
      <c r="J29" s="5" t="n">
        <f aca="false">H29*(1-I29)</f>
        <v>3600</v>
      </c>
    </row>
    <row r="30" customFormat="false" ht="15" hidden="false" customHeight="false" outlineLevel="0" collapsed="false">
      <c r="A30" s="2" t="s">
        <v>62</v>
      </c>
      <c r="B30" s="3" t="s">
        <v>11</v>
      </c>
      <c r="C30" s="4" t="s">
        <v>32</v>
      </c>
      <c r="D30" s="3" t="s">
        <v>33</v>
      </c>
      <c r="E30" s="3" t="s">
        <v>14</v>
      </c>
      <c r="F30" s="4" t="n">
        <v>5</v>
      </c>
      <c r="G30" s="5" t="n">
        <v>650</v>
      </c>
      <c r="H30" s="5" t="n">
        <f aca="false">F30*G30</f>
        <v>3250</v>
      </c>
      <c r="I30" s="6" t="n">
        <v>0</v>
      </c>
      <c r="J30" s="5" t="n">
        <f aca="false">H30*(1-I30)</f>
        <v>3250</v>
      </c>
    </row>
    <row r="31" customFormat="false" ht="15" hidden="false" customHeight="false" outlineLevel="0" collapsed="false">
      <c r="A31" s="2" t="s">
        <v>63</v>
      </c>
      <c r="B31" s="3" t="s">
        <v>16</v>
      </c>
      <c r="C31" s="4" t="s">
        <v>49</v>
      </c>
      <c r="D31" s="3" t="s">
        <v>50</v>
      </c>
      <c r="E31" s="3" t="s">
        <v>19</v>
      </c>
      <c r="F31" s="4" t="n">
        <v>10</v>
      </c>
      <c r="G31" s="5" t="n">
        <v>340</v>
      </c>
      <c r="H31" s="5" t="n">
        <f aca="false">F31*G31</f>
        <v>3400</v>
      </c>
      <c r="I31" s="6" t="n">
        <v>0.05</v>
      </c>
      <c r="J31" s="5" t="n">
        <f aca="false">H31*(1-I31)</f>
        <v>3230</v>
      </c>
    </row>
    <row r="32" customFormat="false" ht="15" hidden="false" customHeight="false" outlineLevel="0" collapsed="false">
      <c r="A32" s="2" t="s">
        <v>64</v>
      </c>
      <c r="B32" s="3" t="s">
        <v>21</v>
      </c>
      <c r="C32" s="4" t="s">
        <v>12</v>
      </c>
      <c r="D32" s="3" t="s">
        <v>13</v>
      </c>
      <c r="E32" s="3" t="s">
        <v>24</v>
      </c>
      <c r="F32" s="4" t="n">
        <v>3</v>
      </c>
      <c r="G32" s="5" t="n">
        <v>4500</v>
      </c>
      <c r="H32" s="5" t="n">
        <f aca="false">F32*G32</f>
        <v>13500</v>
      </c>
      <c r="I32" s="6" t="n">
        <v>0.1</v>
      </c>
      <c r="J32" s="5" t="n">
        <f aca="false">H32*(1-I32)</f>
        <v>12150</v>
      </c>
    </row>
    <row r="33" customFormat="false" ht="15" hidden="false" customHeight="false" outlineLevel="0" collapsed="false">
      <c r="A33" s="2" t="s">
        <v>65</v>
      </c>
      <c r="B33" s="3" t="s">
        <v>26</v>
      </c>
      <c r="C33" s="4" t="s">
        <v>29</v>
      </c>
      <c r="D33" s="3" t="s">
        <v>30</v>
      </c>
      <c r="E33" s="3" t="s">
        <v>27</v>
      </c>
      <c r="F33" s="4" t="n">
        <v>18</v>
      </c>
      <c r="G33" s="5" t="n">
        <v>120</v>
      </c>
      <c r="H33" s="5" t="n">
        <f aca="false">F33*G33</f>
        <v>2160</v>
      </c>
      <c r="I33" s="6" t="n">
        <v>0</v>
      </c>
      <c r="J33" s="5" t="n">
        <f aca="false">H33*(1-I33)</f>
        <v>2160</v>
      </c>
    </row>
    <row r="34" customFormat="false" ht="15" hidden="false" customHeight="false" outlineLevel="0" collapsed="false">
      <c r="A34" s="2" t="s">
        <v>66</v>
      </c>
      <c r="B34" s="3" t="s">
        <v>11</v>
      </c>
      <c r="C34" s="4" t="s">
        <v>17</v>
      </c>
      <c r="D34" s="3" t="s">
        <v>18</v>
      </c>
      <c r="E34" s="3" t="s">
        <v>14</v>
      </c>
      <c r="F34" s="4" t="n">
        <v>6</v>
      </c>
      <c r="G34" s="5" t="n">
        <v>1200</v>
      </c>
      <c r="H34" s="5" t="n">
        <f aca="false">F34*G34</f>
        <v>7200</v>
      </c>
      <c r="I34" s="6" t="n">
        <v>0</v>
      </c>
      <c r="J34" s="5" t="n">
        <f aca="false">H34*(1-I34)</f>
        <v>7200</v>
      </c>
    </row>
    <row r="35" customFormat="false" ht="15" hidden="false" customHeight="false" outlineLevel="0" collapsed="false">
      <c r="A35" s="2" t="s">
        <v>67</v>
      </c>
      <c r="B35" s="3" t="s">
        <v>16</v>
      </c>
      <c r="C35" s="4" t="s">
        <v>43</v>
      </c>
      <c r="D35" s="3" t="s">
        <v>44</v>
      </c>
      <c r="E35" s="3" t="s">
        <v>19</v>
      </c>
      <c r="F35" s="4" t="n">
        <v>4</v>
      </c>
      <c r="G35" s="5" t="n">
        <v>1800</v>
      </c>
      <c r="H35" s="5" t="n">
        <f aca="false">F35*G35</f>
        <v>7200</v>
      </c>
      <c r="I35" s="6" t="n">
        <v>0.05</v>
      </c>
      <c r="J35" s="5" t="n">
        <f aca="false">H35*(1-I35)</f>
        <v>6840</v>
      </c>
    </row>
    <row r="36" customFormat="false" ht="15" hidden="false" customHeight="false" outlineLevel="0" collapsed="false">
      <c r="A36" s="2" t="s">
        <v>68</v>
      </c>
      <c r="B36" s="3" t="s">
        <v>21</v>
      </c>
      <c r="C36" s="4" t="s">
        <v>38</v>
      </c>
      <c r="D36" s="3" t="s">
        <v>39</v>
      </c>
      <c r="E36" s="3" t="s">
        <v>24</v>
      </c>
      <c r="F36" s="4" t="n">
        <v>7</v>
      </c>
      <c r="G36" s="5" t="n">
        <v>850</v>
      </c>
      <c r="H36" s="5" t="n">
        <f aca="false">F36*G36</f>
        <v>5950</v>
      </c>
      <c r="I36" s="6" t="n">
        <v>0</v>
      </c>
      <c r="J36" s="5" t="n">
        <f aca="false">H36*(1-I36)</f>
        <v>5950</v>
      </c>
    </row>
    <row r="37" customFormat="false" ht="15" hidden="false" customHeight="false" outlineLevel="0" collapsed="false">
      <c r="A37" s="2" t="s">
        <v>69</v>
      </c>
      <c r="B37" s="3" t="s">
        <v>26</v>
      </c>
      <c r="C37" s="4" t="s">
        <v>49</v>
      </c>
      <c r="D37" s="3" t="s">
        <v>50</v>
      </c>
      <c r="E37" s="3" t="s">
        <v>27</v>
      </c>
      <c r="F37" s="4" t="n">
        <v>8</v>
      </c>
      <c r="G37" s="5" t="n">
        <v>340</v>
      </c>
      <c r="H37" s="5" t="n">
        <f aca="false">F37*G37</f>
        <v>2720</v>
      </c>
      <c r="I37" s="6" t="n">
        <v>0</v>
      </c>
      <c r="J37" s="5" t="n">
        <f aca="false">H37*(1-I37)</f>
        <v>2720</v>
      </c>
    </row>
    <row r="38" customFormat="false" ht="15" hidden="false" customHeight="false" outlineLevel="0" collapsed="false">
      <c r="A38" s="2" t="s">
        <v>70</v>
      </c>
      <c r="B38" s="3" t="s">
        <v>11</v>
      </c>
      <c r="C38" s="4" t="s">
        <v>22</v>
      </c>
      <c r="D38" s="3" t="s">
        <v>23</v>
      </c>
      <c r="E38" s="3" t="s">
        <v>14</v>
      </c>
      <c r="F38" s="4" t="n">
        <v>14</v>
      </c>
      <c r="G38" s="5" t="n">
        <v>280</v>
      </c>
      <c r="H38" s="5" t="n">
        <f aca="false">F38*G38</f>
        <v>3920</v>
      </c>
      <c r="I38" s="6" t="n">
        <v>0.1</v>
      </c>
      <c r="J38" s="5" t="n">
        <f aca="false">H38*(1-I38)</f>
        <v>3528</v>
      </c>
    </row>
    <row r="39" customFormat="false" ht="15" hidden="false" customHeight="false" outlineLevel="0" collapsed="false">
      <c r="A39" s="2" t="s">
        <v>71</v>
      </c>
      <c r="B39" s="3" t="s">
        <v>16</v>
      </c>
      <c r="C39" s="4" t="s">
        <v>12</v>
      </c>
      <c r="D39" s="3" t="s">
        <v>13</v>
      </c>
      <c r="E39" s="3" t="s">
        <v>19</v>
      </c>
      <c r="F39" s="4" t="n">
        <v>2</v>
      </c>
      <c r="G39" s="5" t="n">
        <v>4500</v>
      </c>
      <c r="H39" s="5" t="n">
        <f aca="false">F39*G39</f>
        <v>9000</v>
      </c>
      <c r="I39" s="6" t="n">
        <v>0</v>
      </c>
      <c r="J39" s="5" t="n">
        <f aca="false">H39*(1-I39)</f>
        <v>9000</v>
      </c>
    </row>
    <row r="40" customFormat="false" ht="15" hidden="false" customHeight="false" outlineLevel="0" collapsed="false">
      <c r="A40" s="2" t="s">
        <v>72</v>
      </c>
      <c r="B40" s="3" t="s">
        <v>21</v>
      </c>
      <c r="C40" s="4" t="s">
        <v>32</v>
      </c>
      <c r="D40" s="3" t="s">
        <v>33</v>
      </c>
      <c r="E40" s="3" t="s">
        <v>24</v>
      </c>
      <c r="F40" s="4" t="n">
        <v>6</v>
      </c>
      <c r="G40" s="5" t="n">
        <v>650</v>
      </c>
      <c r="H40" s="5" t="n">
        <f aca="false">F40*G40</f>
        <v>3900</v>
      </c>
      <c r="I40" s="6" t="n">
        <v>0.05</v>
      </c>
      <c r="J40" s="5" t="n">
        <f aca="false">H40*(1-I40)</f>
        <v>3705</v>
      </c>
    </row>
    <row r="41" customFormat="false" ht="15" hidden="false" customHeight="false" outlineLevel="0" collapsed="false">
      <c r="A41" s="2" t="s">
        <v>73</v>
      </c>
      <c r="B41" s="3" t="s">
        <v>26</v>
      </c>
      <c r="C41" s="4" t="s">
        <v>17</v>
      </c>
      <c r="D41" s="3" t="s">
        <v>18</v>
      </c>
      <c r="E41" s="3" t="s">
        <v>27</v>
      </c>
      <c r="F41" s="4" t="n">
        <v>3</v>
      </c>
      <c r="G41" s="5" t="n">
        <v>1200</v>
      </c>
      <c r="H41" s="5" t="n">
        <f aca="false">F41*G41</f>
        <v>3600</v>
      </c>
      <c r="I41" s="6" t="n">
        <v>0</v>
      </c>
      <c r="J41" s="5" t="n">
        <f aca="false">H41*(1-I41)</f>
        <v>3600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1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2</v>
      </c>
      <c r="B1" s="1" t="s">
        <v>3</v>
      </c>
      <c r="C1" s="1" t="s">
        <v>74</v>
      </c>
      <c r="D1" s="1" t="s">
        <v>75</v>
      </c>
      <c r="E1" s="1" t="s">
        <v>76</v>
      </c>
      <c r="F1" s="1" t="s">
        <v>77</v>
      </c>
    </row>
    <row r="2" customFormat="false" ht="15" hidden="false" customHeight="false" outlineLevel="0" collapsed="false">
      <c r="A2" s="4" t="s">
        <v>12</v>
      </c>
      <c r="B2" s="3" t="s">
        <v>13</v>
      </c>
      <c r="C2" s="3" t="s">
        <v>78</v>
      </c>
      <c r="D2" s="5" t="n">
        <v>4500</v>
      </c>
      <c r="E2" s="3" t="s">
        <v>79</v>
      </c>
      <c r="F2" s="4" t="n">
        <v>45</v>
      </c>
    </row>
    <row r="3" customFormat="false" ht="15" hidden="false" customHeight="false" outlineLevel="0" collapsed="false">
      <c r="A3" s="4" t="s">
        <v>17</v>
      </c>
      <c r="B3" s="3" t="s">
        <v>18</v>
      </c>
      <c r="C3" s="3" t="s">
        <v>78</v>
      </c>
      <c r="D3" s="5" t="n">
        <v>1200</v>
      </c>
      <c r="E3" s="3" t="s">
        <v>79</v>
      </c>
      <c r="F3" s="4" t="n">
        <v>78</v>
      </c>
    </row>
    <row r="4" customFormat="false" ht="15" hidden="false" customHeight="false" outlineLevel="0" collapsed="false">
      <c r="A4" s="4" t="s">
        <v>22</v>
      </c>
      <c r="B4" s="3" t="s">
        <v>23</v>
      </c>
      <c r="C4" s="3" t="s">
        <v>80</v>
      </c>
      <c r="D4" s="5" t="n">
        <v>280</v>
      </c>
      <c r="E4" s="3" t="s">
        <v>81</v>
      </c>
      <c r="F4" s="4" t="n">
        <v>320</v>
      </c>
    </row>
    <row r="5" customFormat="false" ht="15" hidden="false" customHeight="false" outlineLevel="0" collapsed="false">
      <c r="A5" s="4" t="s">
        <v>29</v>
      </c>
      <c r="B5" s="3" t="s">
        <v>30</v>
      </c>
      <c r="C5" s="3" t="s">
        <v>80</v>
      </c>
      <c r="D5" s="5" t="n">
        <v>120</v>
      </c>
      <c r="E5" s="3" t="s">
        <v>81</v>
      </c>
      <c r="F5" s="4" t="n">
        <v>512</v>
      </c>
    </row>
    <row r="6" customFormat="false" ht="15" hidden="false" customHeight="false" outlineLevel="0" collapsed="false">
      <c r="A6" s="4" t="s">
        <v>32</v>
      </c>
      <c r="B6" s="3" t="s">
        <v>33</v>
      </c>
      <c r="C6" s="3" t="s">
        <v>82</v>
      </c>
      <c r="D6" s="5" t="n">
        <v>650</v>
      </c>
      <c r="E6" s="3" t="s">
        <v>83</v>
      </c>
      <c r="F6" s="4" t="n">
        <v>85</v>
      </c>
    </row>
    <row r="7" customFormat="false" ht="15" hidden="false" customHeight="false" outlineLevel="0" collapsed="false">
      <c r="A7" s="4" t="s">
        <v>38</v>
      </c>
      <c r="B7" s="3" t="s">
        <v>39</v>
      </c>
      <c r="C7" s="3" t="s">
        <v>84</v>
      </c>
      <c r="D7" s="5" t="n">
        <v>850</v>
      </c>
      <c r="E7" s="3" t="s">
        <v>85</v>
      </c>
      <c r="F7" s="4" t="n">
        <v>42</v>
      </c>
    </row>
    <row r="8" customFormat="false" ht="15" hidden="false" customHeight="false" outlineLevel="0" collapsed="false">
      <c r="A8" s="4" t="s">
        <v>43</v>
      </c>
      <c r="B8" s="3" t="s">
        <v>44</v>
      </c>
      <c r="C8" s="3" t="s">
        <v>78</v>
      </c>
      <c r="D8" s="5" t="n">
        <v>1800</v>
      </c>
      <c r="E8" s="3" t="s">
        <v>79</v>
      </c>
      <c r="F8" s="4" t="n">
        <v>28</v>
      </c>
    </row>
    <row r="9" customFormat="false" ht="15" hidden="false" customHeight="false" outlineLevel="0" collapsed="false">
      <c r="A9" s="4" t="s">
        <v>49</v>
      </c>
      <c r="B9" s="3" t="s">
        <v>50</v>
      </c>
      <c r="C9" s="3" t="s">
        <v>80</v>
      </c>
      <c r="D9" s="5" t="n">
        <v>340</v>
      </c>
      <c r="E9" s="3" t="s">
        <v>81</v>
      </c>
      <c r="F9" s="4" t="n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1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27.75" hidden="false" customHeight="true" outlineLevel="0" collapsed="false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customFormat="false" ht="15" hidden="false" customHeight="false" outlineLevel="0" collapsed="false">
      <c r="A2" s="3" t="s">
        <v>14</v>
      </c>
      <c r="B2" s="3" t="s">
        <v>11</v>
      </c>
      <c r="C2" s="3" t="s">
        <v>92</v>
      </c>
      <c r="D2" s="2" t="s">
        <v>93</v>
      </c>
      <c r="E2" s="5" t="n">
        <v>120000</v>
      </c>
      <c r="F2" s="7" t="n">
        <v>0.05</v>
      </c>
    </row>
    <row r="3" customFormat="false" ht="15" hidden="false" customHeight="false" outlineLevel="0" collapsed="false">
      <c r="A3" s="3" t="s">
        <v>19</v>
      </c>
      <c r="B3" s="3" t="s">
        <v>16</v>
      </c>
      <c r="C3" s="3" t="s">
        <v>94</v>
      </c>
      <c r="D3" s="2" t="s">
        <v>95</v>
      </c>
      <c r="E3" s="5" t="n">
        <v>150000</v>
      </c>
      <c r="F3" s="7" t="n">
        <v>0.04</v>
      </c>
    </row>
    <row r="4" customFormat="false" ht="15" hidden="false" customHeight="false" outlineLevel="0" collapsed="false">
      <c r="A4" s="3" t="s">
        <v>24</v>
      </c>
      <c r="B4" s="3" t="s">
        <v>21</v>
      </c>
      <c r="C4" s="3" t="s">
        <v>4</v>
      </c>
      <c r="D4" s="2" t="s">
        <v>96</v>
      </c>
      <c r="E4" s="5" t="n">
        <v>90000</v>
      </c>
      <c r="F4" s="7" t="n">
        <v>0.035</v>
      </c>
    </row>
    <row r="5" customFormat="false" ht="15" hidden="false" customHeight="false" outlineLevel="0" collapsed="false">
      <c r="A5" s="3" t="s">
        <v>27</v>
      </c>
      <c r="B5" s="3" t="s">
        <v>26</v>
      </c>
      <c r="C5" s="3" t="s">
        <v>4</v>
      </c>
      <c r="D5" s="2" t="s">
        <v>97</v>
      </c>
      <c r="E5" s="5" t="n">
        <v>100000</v>
      </c>
      <c r="F5" s="7" t="n">
        <v>0.04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1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8" t="s">
        <v>98</v>
      </c>
      <c r="B1" s="8"/>
      <c r="C1" s="8"/>
      <c r="D1" s="8"/>
      <c r="E1" s="8"/>
      <c r="F1" s="8"/>
    </row>
    <row r="3" customFormat="false" ht="14.15" hidden="false" customHeight="false" outlineLevel="0" collapsed="false">
      <c r="A3" s="9" t="s">
        <v>99</v>
      </c>
      <c r="B3" s="9"/>
      <c r="C3" s="9"/>
      <c r="D3" s="9"/>
      <c r="E3" s="9"/>
      <c r="F3" s="9"/>
    </row>
    <row r="5" customFormat="false" ht="15" hidden="false" customHeight="false" outlineLevel="0" collapsed="false">
      <c r="A5" s="10" t="s">
        <v>100</v>
      </c>
    </row>
    <row r="7" customFormat="false" ht="15" hidden="false" customHeight="false" outlineLevel="0" collapsed="false">
      <c r="A7" s="11" t="s">
        <v>101</v>
      </c>
      <c r="B7" s="11"/>
      <c r="C7" s="11"/>
      <c r="D7" s="11"/>
      <c r="E7" s="11"/>
      <c r="F7" s="11"/>
    </row>
    <row r="8" customFormat="false" ht="15" hidden="false" customHeight="false" outlineLevel="0" collapsed="false">
      <c r="A8" s="11" t="s">
        <v>102</v>
      </c>
      <c r="B8" s="11"/>
      <c r="C8" s="11"/>
      <c r="D8" s="11"/>
      <c r="E8" s="11"/>
      <c r="F8" s="11"/>
    </row>
    <row r="9" customFormat="false" ht="14.15" hidden="false" customHeight="false" outlineLevel="0" collapsed="false">
      <c r="A9" s="11" t="s">
        <v>103</v>
      </c>
      <c r="B9" s="11"/>
      <c r="C9" s="11"/>
      <c r="D9" s="11"/>
      <c r="E9" s="11"/>
      <c r="F9" s="11"/>
    </row>
    <row r="10" customFormat="false" ht="14.15" hidden="false" customHeight="false" outlineLevel="0" collapsed="false">
      <c r="A10" s="11" t="s">
        <v>104</v>
      </c>
      <c r="B10" s="11"/>
      <c r="C10" s="11"/>
      <c r="D10" s="11"/>
      <c r="E10" s="11"/>
      <c r="F10" s="11"/>
    </row>
    <row r="11" customFormat="false" ht="15" hidden="false" customHeight="false" outlineLevel="0" collapsed="false">
      <c r="A11" s="11" t="s">
        <v>105</v>
      </c>
      <c r="B11" s="11"/>
      <c r="C11" s="11"/>
      <c r="D11" s="11"/>
      <c r="E11" s="11"/>
      <c r="F11" s="11"/>
    </row>
    <row r="12" customFormat="false" ht="14.15" hidden="false" customHeight="false" outlineLevel="0" collapsed="false">
      <c r="A12" s="11" t="s">
        <v>106</v>
      </c>
      <c r="B12" s="11"/>
      <c r="C12" s="11"/>
      <c r="D12" s="11"/>
      <c r="E12" s="11"/>
      <c r="F12" s="11"/>
    </row>
  </sheetData>
  <mergeCells count="8">
    <mergeCell ref="A1:F1"/>
    <mergeCell ref="A3:F3"/>
    <mergeCell ref="A7:F7"/>
    <mergeCell ref="A8:F8"/>
    <mergeCell ref="A9:F9"/>
    <mergeCell ref="A10:F10"/>
    <mergeCell ref="A11:F1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2026-04-14T19:11:24Z</dcterms:created>
  <dc:creator>openpyxl</dc:creator>
  <dc:description/>
  <dc:language>en-US</dc:language>
  <cp:lastModifiedBy/>
  <dcterms:modified xsi:type="dcterms:W3CDTF">2026-04-14T19:11:24Z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