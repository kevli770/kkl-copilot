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מכירות" sheetId="1" state="visible" r:id="rId1"/>
    <sheet xmlns:r="http://schemas.openxmlformats.org/officeDocument/2006/relationships" name="מדיניות" sheetId="2" state="visible" r:id="rId2"/>
    <sheet xmlns:r="http://schemas.openxmlformats.org/officeDocument/2006/relationships" name="קטלוג מוצרים" sheetId="3" state="visible" r:id="rId3"/>
    <sheet xmlns:r="http://schemas.openxmlformats.org/officeDocument/2006/relationships" name="אנשי מכירות" sheetId="4" state="visible" r:id="rId4"/>
    <sheet xmlns:r="http://schemas.openxmlformats.org/officeDocument/2006/relationships" name="דוח לניתוח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\₪#,##0"/>
    <numFmt numFmtId="166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1"/>
    </font>
    <font>
      <name val="Arial"/>
      <charset val="1"/>
      <family val="0"/>
      <b val="1"/>
      <color rgb="FF2B5CAA"/>
      <sz val="16"/>
    </font>
    <font>
      <name val="Arial"/>
      <charset val="1"/>
      <family val="0"/>
      <i val="1"/>
      <color rgb="FF555555"/>
      <sz val="11"/>
    </font>
    <font>
      <name val="Arial"/>
      <charset val="1"/>
      <family val="0"/>
      <b val="1"/>
      <color rgb="FF2B5CAA"/>
      <sz val="13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2B5CAA"/>
        <bgColor rgb="FF3366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9" fontId="0" fillId="0" borderId="0" pivotButton="0" quotePrefix="0" xfId="0"/>
    <xf numFmtId="0" fontId="9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B5C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46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2" min="1" max="1"/>
    <col width="12" customWidth="1" style="12" min="2" max="3"/>
    <col width="20" customWidth="1" style="12" min="4" max="4"/>
    <col width="16" customWidth="1" style="12" min="5" max="5"/>
    <col width="8" customWidth="1" style="12" min="6" max="6"/>
    <col width="14" customWidth="1" style="12" min="7" max="7"/>
    <col width="16" customWidth="1" style="12" min="8" max="8"/>
    <col width="10" customWidth="1" style="12" min="9" max="9"/>
    <col width="16" customWidth="1" style="12" min="10" max="10"/>
    <col width="18" customWidth="1" style="13" min="11" max="11"/>
  </cols>
  <sheetData>
    <row r="1" ht="27.75" customHeight="1" s="13">
      <c r="A1" s="14" t="inlineStr">
        <is>
          <t>תאריך</t>
        </is>
      </c>
      <c r="B1" s="14" t="inlineStr">
        <is>
          <t>אזור</t>
        </is>
      </c>
      <c r="C1" s="14" t="inlineStr">
        <is>
          <t>קוד מוצר</t>
        </is>
      </c>
      <c r="D1" s="14" t="inlineStr">
        <is>
          <t>שם מוצר</t>
        </is>
      </c>
      <c r="E1" s="14" t="inlineStr">
        <is>
          <t>איש מכירות</t>
        </is>
      </c>
      <c r="F1" s="14" t="inlineStr">
        <is>
          <t>כמות</t>
        </is>
      </c>
      <c r="G1" s="14" t="inlineStr">
        <is>
          <t>מחיר יחידה</t>
        </is>
      </c>
      <c r="H1" s="14" t="inlineStr">
        <is>
          <t>סכום לפני הנחה</t>
        </is>
      </c>
      <c r="I1" s="14" t="inlineStr">
        <is>
          <t>הנחה %</t>
        </is>
      </c>
      <c r="J1" s="14" t="inlineStr">
        <is>
          <t>סכום סופי</t>
        </is>
      </c>
      <c r="K1" s="15" t="inlineStr">
        <is>
          <t>אישור הנחה</t>
        </is>
      </c>
    </row>
    <row r="2" ht="15" customHeight="1" s="13">
      <c r="A2" s="12" t="inlineStr">
        <is>
          <t>2025-01-05</t>
        </is>
      </c>
      <c r="B2" s="12" t="inlineStr">
        <is>
          <t>צפון</t>
        </is>
      </c>
      <c r="C2" s="12" t="inlineStr">
        <is>
          <t>P101</t>
        </is>
      </c>
      <c r="D2" s="12" t="inlineStr">
        <is>
          <t>מחשב נייד</t>
        </is>
      </c>
      <c r="E2" s="12" t="inlineStr">
        <is>
          <t>דניאל כהן</t>
        </is>
      </c>
      <c r="F2" s="12" t="n">
        <v>3</v>
      </c>
      <c r="G2" s="12" t="n">
        <v>4500</v>
      </c>
      <c r="H2" s="12">
        <f>F2*G2</f>
        <v/>
      </c>
      <c r="I2" s="16" t="n">
        <v>0.05</v>
      </c>
      <c r="J2" s="12">
        <f>H2*(1-I2)</f>
        <v/>
      </c>
    </row>
    <row r="3" ht="15" customHeight="1" s="13">
      <c r="A3" s="12" t="inlineStr">
        <is>
          <t>2025-01-07</t>
        </is>
      </c>
      <c r="B3" s="12" t="inlineStr">
        <is>
          <t>מרכז</t>
        </is>
      </c>
      <c r="C3" s="12" t="inlineStr">
        <is>
          <t>P102</t>
        </is>
      </c>
      <c r="D3" s="12" t="inlineStr">
        <is>
          <t>מסך 27 אינץ'</t>
        </is>
      </c>
      <c r="E3" s="12" t="inlineStr">
        <is>
          <t>רונית לוי</t>
        </is>
      </c>
      <c r="F3" s="12" t="n">
        <v>5</v>
      </c>
      <c r="G3" s="12" t="n">
        <v>1200</v>
      </c>
      <c r="H3" s="12">
        <f>F3*G3</f>
        <v/>
      </c>
      <c r="I3" s="16" t="n">
        <v>0</v>
      </c>
      <c r="J3" s="12">
        <f>H3*(1-I3)</f>
        <v/>
      </c>
    </row>
    <row r="4" ht="15" customHeight="1" s="13">
      <c r="A4" s="12" t="inlineStr">
        <is>
          <t>2025-01-09</t>
        </is>
      </c>
      <c r="B4" s="12" t="inlineStr">
        <is>
          <t>דרום</t>
        </is>
      </c>
      <c r="C4" s="12" t="inlineStr">
        <is>
          <t>P103</t>
        </is>
      </c>
      <c r="D4" s="12" t="inlineStr">
        <is>
          <t>מקלדת אלחוטית</t>
        </is>
      </c>
      <c r="E4" s="12" t="inlineStr">
        <is>
          <t>אבי ישראלי</t>
        </is>
      </c>
      <c r="F4" s="12" t="n">
        <v>10</v>
      </c>
      <c r="G4" s="12" t="n">
        <v>280</v>
      </c>
      <c r="H4" s="12">
        <f>F4*G4</f>
        <v/>
      </c>
      <c r="I4" s="16" t="n">
        <v>0.1</v>
      </c>
      <c r="J4" s="12">
        <f>H4*(1-I4)</f>
        <v/>
      </c>
    </row>
    <row r="5" ht="15" customHeight="1" s="13">
      <c r="A5" s="12" t="inlineStr">
        <is>
          <t>2025-01-12</t>
        </is>
      </c>
      <c r="B5" s="12" t="inlineStr">
        <is>
          <t>ירושלים</t>
        </is>
      </c>
      <c r="C5" s="12" t="inlineStr">
        <is>
          <t>P101</t>
        </is>
      </c>
      <c r="D5" s="12" t="inlineStr">
        <is>
          <t>מחשב נייד</t>
        </is>
      </c>
      <c r="E5" s="12" t="inlineStr">
        <is>
          <t>שירה בן-דוד</t>
        </is>
      </c>
      <c r="F5" s="12" t="n">
        <v>2</v>
      </c>
      <c r="G5" s="12" t="n">
        <v>4500</v>
      </c>
      <c r="H5" s="12">
        <f>F5*G5</f>
        <v/>
      </c>
      <c r="I5" s="16" t="n">
        <v>0</v>
      </c>
      <c r="J5" s="12">
        <f>H5*(1-I5)</f>
        <v/>
      </c>
    </row>
    <row r="6" ht="15" customHeight="1" s="13">
      <c r="A6" s="12" t="inlineStr">
        <is>
          <t>2025-01-15</t>
        </is>
      </c>
      <c r="B6" s="12" t="inlineStr">
        <is>
          <t>צפון</t>
        </is>
      </c>
      <c r="C6" s="12" t="inlineStr">
        <is>
          <t>P104</t>
        </is>
      </c>
      <c r="D6" s="12" t="inlineStr">
        <is>
          <t>עכבר אלחוטי</t>
        </is>
      </c>
      <c r="E6" s="12" t="inlineStr">
        <is>
          <t>דניאל כהן</t>
        </is>
      </c>
      <c r="F6" s="12" t="n">
        <v>15</v>
      </c>
      <c r="G6" s="12" t="n">
        <v>120</v>
      </c>
      <c r="H6" s="12">
        <f>F6*G6</f>
        <v/>
      </c>
      <c r="I6" s="16" t="n">
        <v>0.05</v>
      </c>
      <c r="J6" s="12">
        <f>H6*(1-I6)</f>
        <v/>
      </c>
    </row>
    <row r="7" ht="15" customHeight="1" s="13">
      <c r="A7" s="12" t="inlineStr">
        <is>
          <t>2025-01-18</t>
        </is>
      </c>
      <c r="B7" s="12" t="inlineStr">
        <is>
          <t>מרכז</t>
        </is>
      </c>
      <c r="C7" s="12" t="inlineStr">
        <is>
          <t>P105</t>
        </is>
      </c>
      <c r="D7" s="12" t="inlineStr">
        <is>
          <t>רמקולים</t>
        </is>
      </c>
      <c r="E7" s="12" t="inlineStr">
        <is>
          <t>רונית לוי</t>
        </is>
      </c>
      <c r="F7" s="12" t="n">
        <v>4</v>
      </c>
      <c r="G7" s="12" t="n">
        <v>650</v>
      </c>
      <c r="H7" s="12">
        <f>F7*G7</f>
        <v/>
      </c>
      <c r="I7" s="16" t="n">
        <v>0</v>
      </c>
      <c r="J7" s="12">
        <f>H7*(1-I7)</f>
        <v/>
      </c>
    </row>
    <row r="8" ht="15" customHeight="1" s="13">
      <c r="A8" s="12" t="inlineStr">
        <is>
          <t>2025-01-22</t>
        </is>
      </c>
      <c r="B8" s="12" t="inlineStr">
        <is>
          <t>דרום</t>
        </is>
      </c>
      <c r="C8" s="12" t="inlineStr">
        <is>
          <t>P101</t>
        </is>
      </c>
      <c r="D8" s="12" t="inlineStr">
        <is>
          <t>מחשב נייד</t>
        </is>
      </c>
      <c r="E8" s="12" t="inlineStr">
        <is>
          <t>אבי ישראלי</t>
        </is>
      </c>
      <c r="F8" s="12" t="n">
        <v>1</v>
      </c>
      <c r="G8" s="12" t="n">
        <v>4500</v>
      </c>
      <c r="H8" s="12">
        <f>F8*G8</f>
        <v/>
      </c>
      <c r="I8" s="16" t="n">
        <v>0</v>
      </c>
      <c r="J8" s="12">
        <f>H8*(1-I8)</f>
        <v/>
      </c>
    </row>
    <row r="9" ht="15" customHeight="1" s="13">
      <c r="A9" s="12" t="inlineStr">
        <is>
          <t>2025-01-25</t>
        </is>
      </c>
      <c r="B9" s="12" t="inlineStr">
        <is>
          <t>ירושלים</t>
        </is>
      </c>
      <c r="C9" s="12" t="inlineStr">
        <is>
          <t>P102</t>
        </is>
      </c>
      <c r="D9" s="12" t="inlineStr">
        <is>
          <t>מסך 27 אינץ'</t>
        </is>
      </c>
      <c r="E9" s="12" t="inlineStr">
        <is>
          <t>שירה בן-דוד</t>
        </is>
      </c>
      <c r="F9" s="12" t="n">
        <v>3</v>
      </c>
      <c r="G9" s="12" t="n">
        <v>1200</v>
      </c>
      <c r="H9" s="12">
        <f>F9*G9</f>
        <v/>
      </c>
      <c r="I9" s="16" t="n">
        <v>0.08</v>
      </c>
      <c r="J9" s="12">
        <f>H9*(1-I9)</f>
        <v/>
      </c>
    </row>
    <row r="10" ht="15" customHeight="1" s="13">
      <c r="A10" s="12" t="inlineStr">
        <is>
          <t>2025-02-02</t>
        </is>
      </c>
      <c r="B10" s="12" t="inlineStr">
        <is>
          <t>צפון</t>
        </is>
      </c>
      <c r="C10" s="12" t="inlineStr">
        <is>
          <t>P103</t>
        </is>
      </c>
      <c r="D10" s="12" t="inlineStr">
        <is>
          <t>מקלדת אלחוטית</t>
        </is>
      </c>
      <c r="E10" s="12" t="inlineStr">
        <is>
          <t>דניאל כהן</t>
        </is>
      </c>
      <c r="F10" s="12" t="n">
        <v>8</v>
      </c>
      <c r="G10" s="12" t="n">
        <v>280</v>
      </c>
      <c r="H10" s="12">
        <f>F10*G10</f>
        <v/>
      </c>
      <c r="I10" s="16" t="n">
        <v>0.1</v>
      </c>
      <c r="J10" s="12">
        <f>H10*(1-I10)</f>
        <v/>
      </c>
    </row>
    <row r="11" ht="15" customHeight="1" s="13">
      <c r="A11" s="12" t="inlineStr">
        <is>
          <t>2025-02-05</t>
        </is>
      </c>
      <c r="B11" s="12" t="inlineStr">
        <is>
          <t>מרכז</t>
        </is>
      </c>
      <c r="C11" s="12" t="inlineStr">
        <is>
          <t>P106</t>
        </is>
      </c>
      <c r="D11" s="12" t="inlineStr">
        <is>
          <t>כיסא משרדי</t>
        </is>
      </c>
      <c r="E11" s="12" t="inlineStr">
        <is>
          <t>רונית לוי</t>
        </is>
      </c>
      <c r="F11" s="12" t="n">
        <v>6</v>
      </c>
      <c r="G11" s="12" t="n">
        <v>850</v>
      </c>
      <c r="H11" s="12">
        <f>F11*G11</f>
        <v/>
      </c>
      <c r="I11" s="16" t="n">
        <v>0</v>
      </c>
      <c r="J11" s="12">
        <f>H11*(1-I11)</f>
        <v/>
      </c>
    </row>
    <row r="12" ht="15" customHeight="1" s="13">
      <c r="A12" s="12" t="inlineStr">
        <is>
          <t>2025-02-08</t>
        </is>
      </c>
      <c r="B12" s="12" t="inlineStr">
        <is>
          <t>דרום</t>
        </is>
      </c>
      <c r="C12" s="12" t="inlineStr">
        <is>
          <t>P104</t>
        </is>
      </c>
      <c r="D12" s="12" t="inlineStr">
        <is>
          <t>עכבר אלחוטי</t>
        </is>
      </c>
      <c r="E12" s="12" t="inlineStr">
        <is>
          <t>אבי ישראלי</t>
        </is>
      </c>
      <c r="F12" s="12" t="n">
        <v>20</v>
      </c>
      <c r="G12" s="12" t="n">
        <v>120</v>
      </c>
      <c r="H12" s="12">
        <f>F12*G12</f>
        <v/>
      </c>
      <c r="I12" s="16" t="n">
        <v>0.15</v>
      </c>
      <c r="J12" s="12">
        <f>H12*(1-I12)</f>
        <v/>
      </c>
      <c r="K12" s="12" t="inlineStr">
        <is>
          <t>אושר · מנהל אזור</t>
        </is>
      </c>
    </row>
    <row r="13" ht="15" customHeight="1" s="13">
      <c r="A13" s="12" t="inlineStr">
        <is>
          <t>2025-02-11</t>
        </is>
      </c>
      <c r="B13" s="12" t="inlineStr">
        <is>
          <t>ירושלים</t>
        </is>
      </c>
      <c r="C13" s="12" t="inlineStr">
        <is>
          <t>P105</t>
        </is>
      </c>
      <c r="D13" s="12" t="inlineStr">
        <is>
          <t>רמקולים</t>
        </is>
      </c>
      <c r="E13" s="12" t="inlineStr">
        <is>
          <t>שירה בן-דוד</t>
        </is>
      </c>
      <c r="F13" s="12" t="n">
        <v>2</v>
      </c>
      <c r="G13" s="12" t="n">
        <v>650</v>
      </c>
      <c r="H13" s="12">
        <f>F13*G13</f>
        <v/>
      </c>
      <c r="I13" s="16" t="n">
        <v>0</v>
      </c>
      <c r="J13" s="12">
        <f>H13*(1-I13)</f>
        <v/>
      </c>
    </row>
    <row r="14" ht="15" customHeight="1" s="13">
      <c r="A14" s="12" t="inlineStr">
        <is>
          <t>2025-02-14</t>
        </is>
      </c>
      <c r="B14" s="12" t="inlineStr">
        <is>
          <t>צפון</t>
        </is>
      </c>
      <c r="C14" s="12" t="inlineStr">
        <is>
          <t>P107</t>
        </is>
      </c>
      <c r="D14" s="12" t="inlineStr">
        <is>
          <t>מדפסת</t>
        </is>
      </c>
      <c r="E14" s="12" t="inlineStr">
        <is>
          <t>דניאל כהן</t>
        </is>
      </c>
      <c r="F14" s="12" t="n">
        <v>2</v>
      </c>
      <c r="G14" s="12" t="n">
        <v>1800</v>
      </c>
      <c r="H14" s="12">
        <f>F14*G14</f>
        <v/>
      </c>
      <c r="I14" s="16" t="n">
        <v>0.05</v>
      </c>
      <c r="J14" s="12">
        <f>H14*(1-I14)</f>
        <v/>
      </c>
    </row>
    <row r="15" ht="15" customHeight="1" s="13">
      <c r="A15" s="12" t="inlineStr">
        <is>
          <t>2025-02-15</t>
        </is>
      </c>
      <c r="B15" s="12" t="inlineStr">
        <is>
          <t>מרכז</t>
        </is>
      </c>
      <c r="C15" s="12" t="inlineStr">
        <is>
          <t>P104</t>
        </is>
      </c>
      <c r="D15" s="12" t="inlineStr">
        <is>
          <t>עכבר אלחוטי</t>
        </is>
      </c>
      <c r="E15" s="12" t="n"/>
      <c r="F15" s="12" t="n">
        <v>12</v>
      </c>
      <c r="G15" s="12" t="n">
        <v>120</v>
      </c>
      <c r="H15" s="12">
        <f>F15*G15</f>
        <v/>
      </c>
      <c r="I15" s="16" t="n">
        <v>0</v>
      </c>
      <c r="J15" s="12">
        <f>H15*(1-I15)</f>
        <v/>
      </c>
    </row>
    <row r="16" ht="15" customHeight="1" s="13">
      <c r="A16" s="12" t="inlineStr">
        <is>
          <t>2025-02-18</t>
        </is>
      </c>
      <c r="B16" s="12" t="inlineStr">
        <is>
          <t>מרכז</t>
        </is>
      </c>
      <c r="C16" s="12" t="inlineStr">
        <is>
          <t>P101</t>
        </is>
      </c>
      <c r="D16" s="12" t="inlineStr">
        <is>
          <t>מחשב נייד</t>
        </is>
      </c>
      <c r="E16" s="12" t="inlineStr">
        <is>
          <t>רונית לוי</t>
        </is>
      </c>
      <c r="F16" s="12" t="n">
        <v>4</v>
      </c>
      <c r="G16" s="12" t="n">
        <v>4500</v>
      </c>
      <c r="H16" s="12">
        <f>F16*G16</f>
        <v/>
      </c>
      <c r="I16" s="16" t="n">
        <v>0.1</v>
      </c>
      <c r="J16" s="12">
        <f>H16*(1-I16)</f>
        <v/>
      </c>
    </row>
    <row r="17" ht="15" customHeight="1" s="13">
      <c r="A17" s="12" t="inlineStr">
        <is>
          <t>2025-02-22</t>
        </is>
      </c>
      <c r="B17" s="12" t="inlineStr">
        <is>
          <t>דרום</t>
        </is>
      </c>
      <c r="C17" s="12" t="inlineStr">
        <is>
          <t>P102</t>
        </is>
      </c>
      <c r="D17" s="12" t="inlineStr">
        <is>
          <t>מסך 27 אינץ'</t>
        </is>
      </c>
      <c r="E17" s="12" t="inlineStr">
        <is>
          <t>אבי ישראלי</t>
        </is>
      </c>
      <c r="F17" s="12" t="n">
        <v>7</v>
      </c>
      <c r="G17" s="12" t="n">
        <v>1200</v>
      </c>
      <c r="H17" s="12">
        <f>F17*G17</f>
        <v/>
      </c>
      <c r="I17" s="16" t="n">
        <v>0</v>
      </c>
      <c r="J17" s="12">
        <f>H17*(1-I17)</f>
        <v/>
      </c>
    </row>
    <row r="18" ht="15" customHeight="1" s="13">
      <c r="A18" s="12" t="inlineStr">
        <is>
          <t>2025-02-26</t>
        </is>
      </c>
      <c r="B18" s="12" t="inlineStr">
        <is>
          <t>ירושלים</t>
        </is>
      </c>
      <c r="C18" s="12" t="inlineStr">
        <is>
          <t>P106</t>
        </is>
      </c>
      <c r="D18" s="12" t="inlineStr">
        <is>
          <t>כיסא משרדי</t>
        </is>
      </c>
      <c r="E18" s="12" t="inlineStr">
        <is>
          <t>שירה בן-דוד</t>
        </is>
      </c>
      <c r="F18" s="12" t="n">
        <v>10</v>
      </c>
      <c r="G18" s="12" t="n">
        <v>850</v>
      </c>
      <c r="H18" s="12">
        <f>F18*G18</f>
        <v/>
      </c>
      <c r="I18" s="16" t="n">
        <v>0.05</v>
      </c>
      <c r="J18" s="12">
        <f>H18*(1-I18)</f>
        <v/>
      </c>
    </row>
    <row r="19" ht="15" customHeight="1" s="13">
      <c r="A19" s="12" t="inlineStr">
        <is>
          <t>2025-03-01</t>
        </is>
      </c>
      <c r="B19" s="12" t="inlineStr">
        <is>
          <t>צפון</t>
        </is>
      </c>
      <c r="C19" s="12" t="inlineStr">
        <is>
          <t>P108</t>
        </is>
      </c>
      <c r="D19" s="12" t="inlineStr">
        <is>
          <t>מצלמת רשת</t>
        </is>
      </c>
      <c r="E19" s="12" t="inlineStr">
        <is>
          <t>דניאל כהן</t>
        </is>
      </c>
      <c r="F19" s="12" t="n">
        <v>12</v>
      </c>
      <c r="G19" s="12" t="n">
        <v>340</v>
      </c>
      <c r="H19" s="12">
        <f>F19*G19</f>
        <v/>
      </c>
      <c r="I19" s="16" t="n">
        <v>0</v>
      </c>
      <c r="J19" s="12">
        <f>H19*(1-I19)</f>
        <v/>
      </c>
    </row>
    <row r="20" ht="15" customHeight="1" s="13">
      <c r="A20" s="12" t="inlineStr">
        <is>
          <t>2025-03-05</t>
        </is>
      </c>
      <c r="B20" s="12" t="inlineStr">
        <is>
          <t>מרכז</t>
        </is>
      </c>
      <c r="C20" s="12" t="inlineStr">
        <is>
          <t>P103</t>
        </is>
      </c>
      <c r="D20" s="12" t="inlineStr">
        <is>
          <t>מקלדת אלחוטית</t>
        </is>
      </c>
      <c r="E20" s="12" t="inlineStr">
        <is>
          <t>רונית לוי</t>
        </is>
      </c>
      <c r="F20" s="12" t="n">
        <v>6</v>
      </c>
      <c r="G20" s="12" t="n">
        <v>280</v>
      </c>
      <c r="H20" s="12">
        <f>F20*G20</f>
        <v/>
      </c>
      <c r="I20" s="16" t="n">
        <v>0.05</v>
      </c>
      <c r="J20" s="12">
        <f>H20*(1-I20)</f>
        <v/>
      </c>
    </row>
    <row r="21" ht="15" customHeight="1" s="13">
      <c r="A21" s="12" t="inlineStr">
        <is>
          <t>2025-03-08</t>
        </is>
      </c>
      <c r="B21" s="12" t="inlineStr">
        <is>
          <t>דרום</t>
        </is>
      </c>
      <c r="C21" s="12" t="inlineStr">
        <is>
          <t>P107</t>
        </is>
      </c>
      <c r="D21" s="12" t="inlineStr">
        <is>
          <t>מדפסת</t>
        </is>
      </c>
      <c r="E21" s="12" t="inlineStr">
        <is>
          <t>אבי ישראלי</t>
        </is>
      </c>
      <c r="F21" s="12" t="n">
        <v>3</v>
      </c>
      <c r="G21" s="12" t="n">
        <v>1800</v>
      </c>
      <c r="H21" s="12">
        <f>F21*G21</f>
        <v/>
      </c>
      <c r="I21" s="16" t="n">
        <v>0</v>
      </c>
      <c r="J21" s="12">
        <f>H21*(1-I21)</f>
        <v/>
      </c>
    </row>
    <row r="22" ht="15" customHeight="1" s="13">
      <c r="A22" s="12" t="inlineStr">
        <is>
          <t>2025-03-12</t>
        </is>
      </c>
      <c r="B22" s="12" t="inlineStr">
        <is>
          <t>ירושלים</t>
        </is>
      </c>
      <c r="C22" s="12" t="inlineStr">
        <is>
          <t>P101</t>
        </is>
      </c>
      <c r="D22" s="12" t="inlineStr">
        <is>
          <t>מחשב נייד</t>
        </is>
      </c>
      <c r="E22" s="12" t="inlineStr">
        <is>
          <t>שירה בן-דוד</t>
        </is>
      </c>
      <c r="F22" s="12" t="n">
        <v>5</v>
      </c>
      <c r="G22" s="12" t="n">
        <v>4500</v>
      </c>
      <c r="H22" s="12">
        <f>F22*G22</f>
        <v/>
      </c>
      <c r="I22" s="16" t="n">
        <v>0.15</v>
      </c>
      <c r="J22" s="12">
        <f>H22*(1-I22)</f>
        <v/>
      </c>
    </row>
    <row r="23" ht="15" customHeight="1" s="13">
      <c r="A23" s="12" t="inlineStr">
        <is>
          <t>2025-03-15</t>
        </is>
      </c>
      <c r="B23" s="12" t="inlineStr">
        <is>
          <t>צפון</t>
        </is>
      </c>
      <c r="C23" s="12" t="inlineStr">
        <is>
          <t>P104</t>
        </is>
      </c>
      <c r="D23" s="12" t="inlineStr">
        <is>
          <t>עכבר אלחוטי</t>
        </is>
      </c>
      <c r="E23" s="12" t="inlineStr">
        <is>
          <t>דניאל כהן</t>
        </is>
      </c>
      <c r="F23" s="12" t="n">
        <v>25</v>
      </c>
      <c r="G23" s="12" t="n">
        <v>120</v>
      </c>
      <c r="H23" s="12">
        <f>F23*G23</f>
        <v/>
      </c>
      <c r="I23" s="16" t="n">
        <v>0.1</v>
      </c>
      <c r="J23" s="12">
        <f>H23*(1-I23)</f>
        <v/>
      </c>
    </row>
    <row r="24" ht="15" customHeight="1" s="13">
      <c r="A24" s="12" t="inlineStr">
        <is>
          <t>2025-03-19</t>
        </is>
      </c>
      <c r="B24" s="12" t="inlineStr">
        <is>
          <t>מרכז</t>
        </is>
      </c>
      <c r="C24" s="12" t="inlineStr">
        <is>
          <t>P105</t>
        </is>
      </c>
      <c r="D24" s="12" t="inlineStr">
        <is>
          <t>רמקולים</t>
        </is>
      </c>
      <c r="E24" s="12" t="inlineStr">
        <is>
          <t>רונית לוי</t>
        </is>
      </c>
      <c r="F24" s="12" t="n">
        <v>8</v>
      </c>
      <c r="G24" s="12" t="n">
        <v>650</v>
      </c>
      <c r="H24" s="12">
        <f>F24*G24</f>
        <v/>
      </c>
      <c r="I24" s="16" t="n">
        <v>0</v>
      </c>
      <c r="J24" s="12">
        <f>H24*(1-I24)</f>
        <v/>
      </c>
    </row>
    <row r="25" ht="15" customHeight="1" s="13">
      <c r="A25" s="12" t="inlineStr">
        <is>
          <t>2025-03-22</t>
        </is>
      </c>
      <c r="B25" s="12" t="inlineStr">
        <is>
          <t>דרום</t>
        </is>
      </c>
      <c r="C25" s="12" t="inlineStr">
        <is>
          <t>P108</t>
        </is>
      </c>
      <c r="D25" s="12" t="inlineStr">
        <is>
          <t>מצלמת רשת</t>
        </is>
      </c>
      <c r="E25" s="12" t="inlineStr">
        <is>
          <t>אבי ישראלי</t>
        </is>
      </c>
      <c r="F25" s="12" t="n">
        <v>5</v>
      </c>
      <c r="G25" s="12" t="n">
        <v>340</v>
      </c>
      <c r="H25" s="12">
        <f>F25*G25</f>
        <v/>
      </c>
      <c r="I25" s="16" t="n">
        <v>0</v>
      </c>
      <c r="J25" s="12">
        <f>H25*(1-I25)</f>
        <v/>
      </c>
    </row>
    <row r="26" ht="15" customHeight="1" s="13">
      <c r="A26" s="12" t="inlineStr">
        <is>
          <t>2025-03-26</t>
        </is>
      </c>
      <c r="B26" s="12" t="inlineStr">
        <is>
          <t>ירושלים</t>
        </is>
      </c>
      <c r="C26" s="12" t="inlineStr">
        <is>
          <t>P102</t>
        </is>
      </c>
      <c r="D26" s="12" t="inlineStr">
        <is>
          <t>מסך 27 אינץ'</t>
        </is>
      </c>
      <c r="E26" s="12" t="inlineStr">
        <is>
          <t>שירה בן-דוד</t>
        </is>
      </c>
      <c r="F26" s="12" t="n">
        <v>4</v>
      </c>
      <c r="G26" s="12" t="n">
        <v>1200</v>
      </c>
      <c r="H26" s="12">
        <f>F26*G26</f>
        <v/>
      </c>
      <c r="I26" s="16" t="n">
        <v>0.05</v>
      </c>
      <c r="J26" s="12">
        <f>H26*(1-I26)</f>
        <v/>
      </c>
    </row>
    <row r="27" ht="15" customHeight="1" s="13">
      <c r="A27" s="12" t="inlineStr">
        <is>
          <t>2025-03-27</t>
        </is>
      </c>
      <c r="B27" s="12" t="inlineStr">
        <is>
          <t>מרכז</t>
        </is>
      </c>
      <c r="C27" s="12" t="inlineStr">
        <is>
          <t>P101</t>
        </is>
      </c>
      <c r="D27" s="12" t="inlineStr">
        <is>
          <t>מחשב נייד</t>
        </is>
      </c>
      <c r="E27" s="12" t="inlineStr">
        <is>
          <t>רונית לוי</t>
        </is>
      </c>
      <c r="F27" s="12" t="n">
        <v>3</v>
      </c>
      <c r="G27" s="12" t="n">
        <v>3900</v>
      </c>
      <c r="H27" s="12">
        <f>F27*G27</f>
        <v/>
      </c>
      <c r="I27" s="16" t="n">
        <v>0</v>
      </c>
      <c r="J27" s="12">
        <f>H27*(1-I27)</f>
        <v/>
      </c>
    </row>
    <row r="28" ht="15" customHeight="1" s="13">
      <c r="A28" s="12" t="inlineStr">
        <is>
          <t>2025-04-02</t>
        </is>
      </c>
      <c r="B28" s="12" t="inlineStr">
        <is>
          <t>צפון</t>
        </is>
      </c>
      <c r="C28" s="12" t="inlineStr">
        <is>
          <t>P101</t>
        </is>
      </c>
      <c r="D28" s="12" t="inlineStr">
        <is>
          <t>מחשב נייד</t>
        </is>
      </c>
      <c r="E28" s="12" t="inlineStr">
        <is>
          <t>דניאל כהן</t>
        </is>
      </c>
      <c r="F28" s="12" t="n">
        <v>2</v>
      </c>
      <c r="G28" s="12" t="n">
        <v>4500</v>
      </c>
      <c r="H28" s="12">
        <f>F28*G28</f>
        <v/>
      </c>
      <c r="I28" s="16" t="n">
        <v>0</v>
      </c>
      <c r="J28" s="12">
        <f>H28*(1-I28)</f>
        <v/>
      </c>
    </row>
    <row r="29" ht="15" customHeight="1" s="13">
      <c r="A29" s="12" t="inlineStr">
        <is>
          <t>2025-04-05</t>
        </is>
      </c>
      <c r="B29" s="12" t="inlineStr">
        <is>
          <t>מרכז</t>
        </is>
      </c>
      <c r="C29" s="12" t="inlineStr">
        <is>
          <t>P106</t>
        </is>
      </c>
      <c r="D29" s="12" t="inlineStr">
        <is>
          <t>כיסא משרדי</t>
        </is>
      </c>
      <c r="E29" s="12" t="inlineStr">
        <is>
          <t>רונית לוי</t>
        </is>
      </c>
      <c r="F29" s="12" t="n">
        <v>8</v>
      </c>
      <c r="G29" s="12" t="n">
        <v>850</v>
      </c>
      <c r="H29" s="12">
        <f>F29*G29</f>
        <v/>
      </c>
      <c r="I29" s="16" t="n">
        <v>0.05</v>
      </c>
      <c r="J29" s="12">
        <f>H29*(1-I29)</f>
        <v/>
      </c>
    </row>
    <row r="30" ht="15" customHeight="1" s="13">
      <c r="A30" s="12" t="inlineStr">
        <is>
          <t>2025-04-09</t>
        </is>
      </c>
      <c r="B30" s="12" t="inlineStr">
        <is>
          <t>דרום</t>
        </is>
      </c>
      <c r="C30" s="12" t="inlineStr">
        <is>
          <t>P103</t>
        </is>
      </c>
      <c r="D30" s="12" t="inlineStr">
        <is>
          <t>מקלדת אלחוטית</t>
        </is>
      </c>
      <c r="E30" s="12" t="inlineStr">
        <is>
          <t>אבי ישראלי</t>
        </is>
      </c>
      <c r="F30" s="12" t="n">
        <v>12</v>
      </c>
      <c r="G30" s="12" t="n">
        <v>280</v>
      </c>
      <c r="H30" s="12">
        <f>F30*G30</f>
        <v/>
      </c>
      <c r="I30" s="16" t="n">
        <v>0.1</v>
      </c>
      <c r="J30" s="12">
        <f>H30*(1-I30)</f>
        <v/>
      </c>
    </row>
    <row r="31" ht="15" customHeight="1" s="13">
      <c r="A31" s="12" t="inlineStr">
        <is>
          <t>2025-04-12</t>
        </is>
      </c>
      <c r="B31" s="12" t="inlineStr">
        <is>
          <t>ירושלים</t>
        </is>
      </c>
      <c r="C31" s="12" t="inlineStr">
        <is>
          <t>P107</t>
        </is>
      </c>
      <c r="D31" s="12" t="inlineStr">
        <is>
          <t>מדפסת</t>
        </is>
      </c>
      <c r="E31" s="12" t="inlineStr">
        <is>
          <t>שירה בן-דוד</t>
        </is>
      </c>
      <c r="F31" s="12" t="n">
        <v>2</v>
      </c>
      <c r="G31" s="12" t="n">
        <v>1800</v>
      </c>
      <c r="H31" s="12">
        <f>F31*G31</f>
        <v/>
      </c>
      <c r="I31" s="16" t="n">
        <v>0</v>
      </c>
      <c r="J31" s="12">
        <f>H31*(1-I31)</f>
        <v/>
      </c>
    </row>
    <row r="32" ht="15" customHeight="1" s="13">
      <c r="A32" s="12" t="inlineStr">
        <is>
          <t>2025-04-16</t>
        </is>
      </c>
      <c r="B32" s="12" t="inlineStr">
        <is>
          <t>צפון</t>
        </is>
      </c>
      <c r="C32" s="12" t="inlineStr">
        <is>
          <t>P105</t>
        </is>
      </c>
      <c r="D32" s="12" t="inlineStr">
        <is>
          <t>רמקולים</t>
        </is>
      </c>
      <c r="E32" s="12" t="inlineStr">
        <is>
          <t>דניאל כהן</t>
        </is>
      </c>
      <c r="F32" s="12" t="n">
        <v>5</v>
      </c>
      <c r="G32" s="12" t="n">
        <v>650</v>
      </c>
      <c r="H32" s="12">
        <f>F32*G32</f>
        <v/>
      </c>
      <c r="I32" s="16" t="n">
        <v>0</v>
      </c>
      <c r="J32" s="12">
        <f>H32*(1-I32)</f>
        <v/>
      </c>
    </row>
    <row r="33" ht="15" customHeight="1" s="13">
      <c r="A33" s="12" t="inlineStr">
        <is>
          <t>2025-04-16</t>
        </is>
      </c>
      <c r="B33" s="12" t="inlineStr">
        <is>
          <t>צפון</t>
        </is>
      </c>
      <c r="C33" s="12" t="inlineStr">
        <is>
          <t>P105</t>
        </is>
      </c>
      <c r="D33" s="12" t="inlineStr">
        <is>
          <t>רמקולים</t>
        </is>
      </c>
      <c r="E33" s="12" t="inlineStr">
        <is>
          <t>דניאל כהן</t>
        </is>
      </c>
      <c r="F33" s="12" t="n">
        <v>5</v>
      </c>
      <c r="G33" s="12" t="n">
        <v>650</v>
      </c>
      <c r="H33" s="12">
        <f>F33*G33</f>
        <v/>
      </c>
      <c r="I33" s="16" t="n">
        <v>0</v>
      </c>
      <c r="J33" s="12">
        <f>H33*(1-I33)</f>
        <v/>
      </c>
    </row>
    <row r="34" ht="15" customHeight="1" s="13">
      <c r="A34" s="12" t="inlineStr">
        <is>
          <t>2025-04-20</t>
        </is>
      </c>
      <c r="B34" s="12" t="inlineStr">
        <is>
          <t>מרכז</t>
        </is>
      </c>
      <c r="C34" s="12" t="inlineStr">
        <is>
          <t>P108</t>
        </is>
      </c>
      <c r="D34" s="12" t="inlineStr">
        <is>
          <t>מצלמת רשת</t>
        </is>
      </c>
      <c r="E34" s="12" t="inlineStr">
        <is>
          <t>רונית לוי</t>
        </is>
      </c>
      <c r="F34" s="12" t="n">
        <v>10</v>
      </c>
      <c r="G34" s="12" t="n">
        <v>340</v>
      </c>
      <c r="H34" s="12">
        <f>F34*G34</f>
        <v/>
      </c>
      <c r="I34" s="16" t="n">
        <v>0.05</v>
      </c>
      <c r="J34" s="12">
        <f>H34*(1-I34)</f>
        <v/>
      </c>
    </row>
    <row r="35" ht="15" customHeight="1" s="13">
      <c r="A35" s="12" t="inlineStr">
        <is>
          <t>2025-04-24</t>
        </is>
      </c>
      <c r="B35" s="12" t="inlineStr">
        <is>
          <t>דרום</t>
        </is>
      </c>
      <c r="C35" s="12" t="inlineStr">
        <is>
          <t>P101</t>
        </is>
      </c>
      <c r="D35" s="12" t="inlineStr">
        <is>
          <t>מחשב נייד</t>
        </is>
      </c>
      <c r="E35" s="12" t="inlineStr">
        <is>
          <t>אבי ישראלי</t>
        </is>
      </c>
      <c r="F35" s="12" t="n">
        <v>3</v>
      </c>
      <c r="G35" s="12" t="n">
        <v>4500</v>
      </c>
      <c r="H35" s="12">
        <f>F35*G35</f>
        <v/>
      </c>
      <c r="I35" s="16" t="n">
        <v>0.1</v>
      </c>
      <c r="J35" s="12">
        <f>H35*(1-I35)</f>
        <v/>
      </c>
    </row>
    <row r="36" ht="15" customHeight="1" s="13">
      <c r="A36" s="12" t="inlineStr">
        <is>
          <t>2025-04-28</t>
        </is>
      </c>
      <c r="B36" s="12" t="inlineStr">
        <is>
          <t>ירושלים</t>
        </is>
      </c>
      <c r="C36" s="12" t="inlineStr">
        <is>
          <t>P104</t>
        </is>
      </c>
      <c r="D36" s="12" t="inlineStr">
        <is>
          <t>עכבר אלחוטי</t>
        </is>
      </c>
      <c r="E36" s="12" t="inlineStr">
        <is>
          <t>שירה בן-דוד</t>
        </is>
      </c>
      <c r="F36" s="12" t="n">
        <v>18</v>
      </c>
      <c r="G36" s="12" t="n">
        <v>120</v>
      </c>
      <c r="H36" s="12">
        <f>F36*G36</f>
        <v/>
      </c>
      <c r="I36" s="16" t="n">
        <v>0</v>
      </c>
      <c r="J36" s="12">
        <f>H36*(1-I36)</f>
        <v/>
      </c>
    </row>
    <row r="37" ht="15" customHeight="1" s="13">
      <c r="A37" s="12" t="inlineStr">
        <is>
          <t>2025-05-03</t>
        </is>
      </c>
      <c r="B37" s="12" t="inlineStr">
        <is>
          <t>צפון</t>
        </is>
      </c>
      <c r="C37" s="12" t="inlineStr">
        <is>
          <t>P102</t>
        </is>
      </c>
      <c r="D37" s="12" t="inlineStr">
        <is>
          <t>מסך 27 אינץ'</t>
        </is>
      </c>
      <c r="E37" s="12" t="inlineStr">
        <is>
          <t>דניאל כהן</t>
        </is>
      </c>
      <c r="F37" s="12" t="n">
        <v>6</v>
      </c>
      <c r="G37" s="12" t="n">
        <v>1200</v>
      </c>
      <c r="H37" s="12">
        <f>F37*G37</f>
        <v/>
      </c>
      <c r="I37" s="16" t="n">
        <v>0</v>
      </c>
      <c r="J37" s="12">
        <f>H37*(1-I37)</f>
        <v/>
      </c>
    </row>
    <row r="38" ht="15" customHeight="1" s="13">
      <c r="A38" s="12" t="inlineStr">
        <is>
          <t>2025-05-07</t>
        </is>
      </c>
      <c r="B38" s="12" t="inlineStr">
        <is>
          <t>מרכז</t>
        </is>
      </c>
      <c r="C38" s="12" t="inlineStr">
        <is>
          <t>P107</t>
        </is>
      </c>
      <c r="D38" s="12" t="inlineStr">
        <is>
          <t>מדפסת</t>
        </is>
      </c>
      <c r="E38" s="12" t="inlineStr">
        <is>
          <t>רונית לוי</t>
        </is>
      </c>
      <c r="F38" s="12" t="n">
        <v>4</v>
      </c>
      <c r="G38" s="12" t="n">
        <v>1800</v>
      </c>
      <c r="H38" s="12">
        <f>F38*G38</f>
        <v/>
      </c>
      <c r="I38" s="16" t="n">
        <v>0.05</v>
      </c>
      <c r="J38" s="12">
        <f>H38*(1-I38)</f>
        <v/>
      </c>
    </row>
    <row r="39" ht="15" customHeight="1" s="13">
      <c r="A39" s="12" t="inlineStr">
        <is>
          <t>2025-05-13</t>
        </is>
      </c>
      <c r="B39" s="12" t="inlineStr">
        <is>
          <t>דרום</t>
        </is>
      </c>
      <c r="C39" s="12" t="inlineStr">
        <is>
          <t>P107</t>
        </is>
      </c>
      <c r="D39" s="12" t="inlineStr">
        <is>
          <t>מדפסת</t>
        </is>
      </c>
      <c r="E39" s="12" t="inlineStr">
        <is>
          <t>דניאל כהן</t>
        </is>
      </c>
      <c r="F39" s="12" t="n">
        <v>2</v>
      </c>
      <c r="G39" s="12" t="n">
        <v>1800</v>
      </c>
      <c r="H39" s="12">
        <f>F39*G39</f>
        <v/>
      </c>
      <c r="I39" s="16" t="n">
        <v>0.05</v>
      </c>
      <c r="J39" s="12">
        <f>H39*(1-I39)</f>
        <v/>
      </c>
    </row>
    <row r="40" ht="15" customHeight="1" s="13">
      <c r="A40" s="12" t="inlineStr">
        <is>
          <t>2025-05-11</t>
        </is>
      </c>
      <c r="B40" s="12" t="inlineStr">
        <is>
          <t>דרום</t>
        </is>
      </c>
      <c r="C40" s="12" t="inlineStr">
        <is>
          <t>P106</t>
        </is>
      </c>
      <c r="D40" s="12" t="inlineStr">
        <is>
          <t>כיסא משרדי</t>
        </is>
      </c>
      <c r="E40" s="12" t="inlineStr">
        <is>
          <t>אבי ישראלי</t>
        </is>
      </c>
      <c r="F40" s="12" t="n">
        <v>7</v>
      </c>
      <c r="G40" s="12" t="n">
        <v>850</v>
      </c>
      <c r="H40" s="12">
        <f>F40*G40</f>
        <v/>
      </c>
      <c r="I40" s="16" t="n">
        <v>0</v>
      </c>
      <c r="J40" s="12">
        <f>H40*(1-I40)</f>
        <v/>
      </c>
    </row>
    <row r="41" ht="15" customHeight="1" s="13">
      <c r="A41" s="12" t="inlineStr">
        <is>
          <t>2025-05-15</t>
        </is>
      </c>
      <c r="B41" s="12" t="inlineStr">
        <is>
          <t>ירושלים</t>
        </is>
      </c>
      <c r="C41" s="12" t="inlineStr">
        <is>
          <t>P108</t>
        </is>
      </c>
      <c r="D41" s="12" t="inlineStr">
        <is>
          <t>מצלמת רשת</t>
        </is>
      </c>
      <c r="E41" s="12" t="inlineStr">
        <is>
          <t>שירה בן-דוד</t>
        </is>
      </c>
      <c r="F41" s="12" t="n">
        <v>8</v>
      </c>
      <c r="G41" s="12" t="n">
        <v>340</v>
      </c>
      <c r="H41" s="12">
        <f>F41*G41</f>
        <v/>
      </c>
      <c r="I41" s="16" t="n">
        <v>0</v>
      </c>
      <c r="J41" s="12">
        <f>H41*(1-I41)</f>
        <v/>
      </c>
    </row>
    <row r="42">
      <c r="A42" s="12" t="inlineStr">
        <is>
          <t>2025-05-19</t>
        </is>
      </c>
      <c r="B42" s="12" t="inlineStr">
        <is>
          <t>צפון</t>
        </is>
      </c>
      <c r="C42" s="12" t="inlineStr">
        <is>
          <t>P103</t>
        </is>
      </c>
      <c r="D42" s="12" t="inlineStr">
        <is>
          <t>מקלדת אלחוטית</t>
        </is>
      </c>
      <c r="E42" s="12" t="inlineStr">
        <is>
          <t>דניאל כהן</t>
        </is>
      </c>
      <c r="F42" s="12" t="n">
        <v>14</v>
      </c>
      <c r="G42" s="12" t="n">
        <v>280</v>
      </c>
      <c r="H42" s="12">
        <f>F42*G42</f>
        <v/>
      </c>
      <c r="I42" s="16" t="n">
        <v>0.1</v>
      </c>
      <c r="J42" s="12">
        <f>H42*(1-I42)</f>
        <v/>
      </c>
    </row>
    <row r="43">
      <c r="A43" s="12" t="inlineStr">
        <is>
          <t>2025-05-20</t>
        </is>
      </c>
      <c r="B43" s="12" t="inlineStr">
        <is>
          <t>ירושלים</t>
        </is>
      </c>
      <c r="C43" s="12" t="inlineStr">
        <is>
          <t>P107</t>
        </is>
      </c>
      <c r="D43" s="12" t="inlineStr">
        <is>
          <t>מדפסת</t>
        </is>
      </c>
      <c r="E43" s="12" t="inlineStr">
        <is>
          <t>שירה בן-דוד</t>
        </is>
      </c>
      <c r="F43" s="12" t="n">
        <v>3</v>
      </c>
      <c r="G43" s="12" t="n">
        <v>1800</v>
      </c>
      <c r="H43" s="12">
        <f>F43*G43</f>
        <v/>
      </c>
      <c r="I43" s="16" t="n">
        <v>0.25</v>
      </c>
      <c r="J43" s="12">
        <f>H43*(1-I43)</f>
        <v/>
      </c>
    </row>
    <row r="44">
      <c r="A44" s="12" t="inlineStr">
        <is>
          <t>2025-05-23</t>
        </is>
      </c>
      <c r="B44" s="12" t="inlineStr">
        <is>
          <t>מרכז</t>
        </is>
      </c>
      <c r="C44" s="12" t="inlineStr">
        <is>
          <t>P101</t>
        </is>
      </c>
      <c r="D44" s="12" t="inlineStr">
        <is>
          <t>מחשב נייד</t>
        </is>
      </c>
      <c r="E44" s="12" t="inlineStr">
        <is>
          <t>רונית לוי</t>
        </is>
      </c>
      <c r="F44" s="12" t="n">
        <v>2</v>
      </c>
      <c r="G44" s="12" t="n">
        <v>4500</v>
      </c>
      <c r="H44" s="12">
        <f>F44*G44</f>
        <v/>
      </c>
      <c r="I44" s="16" t="n">
        <v>0</v>
      </c>
      <c r="J44" s="12">
        <f>H44*(1-I44)</f>
        <v/>
      </c>
    </row>
    <row r="45">
      <c r="A45" s="12" t="inlineStr">
        <is>
          <t>2025-05-27</t>
        </is>
      </c>
      <c r="B45" s="12" t="inlineStr">
        <is>
          <t>דרום</t>
        </is>
      </c>
      <c r="C45" s="12" t="inlineStr">
        <is>
          <t>P105</t>
        </is>
      </c>
      <c r="D45" s="12" t="inlineStr">
        <is>
          <t>רמקולים</t>
        </is>
      </c>
      <c r="E45" s="12" t="inlineStr">
        <is>
          <t>אבי ישראלי</t>
        </is>
      </c>
      <c r="F45" s="12" t="n">
        <v>6</v>
      </c>
      <c r="G45" s="12" t="n">
        <v>650</v>
      </c>
      <c r="H45" s="12">
        <f>F45*G45</f>
        <v/>
      </c>
      <c r="I45" s="16" t="n">
        <v>0.05</v>
      </c>
      <c r="J45" s="12">
        <f>H45*(1-I45)</f>
        <v/>
      </c>
    </row>
    <row r="46">
      <c r="A46" s="12" t="inlineStr">
        <is>
          <t>2025-05-31</t>
        </is>
      </c>
      <c r="B46" s="12" t="inlineStr">
        <is>
          <t>ירושלים</t>
        </is>
      </c>
      <c r="C46" s="12" t="inlineStr">
        <is>
          <t>P102</t>
        </is>
      </c>
      <c r="D46" s="12" t="inlineStr">
        <is>
          <t>מסך 27 אינץ'</t>
        </is>
      </c>
      <c r="E46" s="12" t="inlineStr">
        <is>
          <t>שירה בן-דוד</t>
        </is>
      </c>
      <c r="F46" s="12" t="n">
        <v>3</v>
      </c>
      <c r="G46" s="12" t="n">
        <v>1200</v>
      </c>
      <c r="H46" s="12">
        <f>F46*G46</f>
        <v/>
      </c>
      <c r="I46" s="16" t="n">
        <v>0</v>
      </c>
      <c r="J46" s="12">
        <f>H46*(1-I46)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95" customWidth="1" style="13" min="1" max="1"/>
  </cols>
  <sheetData>
    <row r="1">
      <c r="A1" s="17" t="inlineStr">
        <is>
          <t>מדיניות מכירות · לביקורת</t>
        </is>
      </c>
    </row>
    <row r="3">
      <c r="A3" s="12" t="inlineStr">
        <is>
          <t>1. מחיר היחידה בעסקה זהה למחיר הרשמי בגיליון "קטלוג מוצרים".</t>
        </is>
      </c>
    </row>
    <row r="4">
      <c r="A4" s="12" t="inlineStr">
        <is>
          <t>2. הנחה של עד 10% מותרת. הנחה גבוהה מ-10% מחייבת אישור, שנרשם בעמודה "אישור הנחה".</t>
        </is>
      </c>
    </row>
    <row r="5">
      <c r="A5" s="12" t="inlineStr">
        <is>
          <t>3. איש מכירות מוכר רק באזור הראשי שלו (גיליון "אנשי מכירות").</t>
        </is>
      </c>
    </row>
    <row r="6">
      <c r="A6" s="12" t="inlineStr">
        <is>
          <t>4. כל עסקה משויכת לאיש מכירות.</t>
        </is>
      </c>
    </row>
    <row r="7">
      <c r="A7" s="12" t="inlineStr">
        <is>
          <t>5. כל עסקה נרשמת פעם אחת בלבד.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2" min="1" max="1"/>
    <col width="20" customWidth="1" style="12" min="2" max="2"/>
    <col width="14" customWidth="1" style="12" min="3" max="4"/>
    <col width="20" customWidth="1" style="12" min="5" max="5"/>
    <col width="14" customWidth="1" style="12" min="6" max="6"/>
  </cols>
  <sheetData>
    <row r="1" ht="27.75" customHeight="1" s="13">
      <c r="A1" s="14" t="inlineStr">
        <is>
          <t>קוד מוצר</t>
        </is>
      </c>
      <c r="B1" s="14" t="inlineStr">
        <is>
          <t>שם מוצר</t>
        </is>
      </c>
      <c r="C1" s="14" t="inlineStr">
        <is>
          <t>קטגוריה</t>
        </is>
      </c>
      <c r="D1" s="14" t="inlineStr">
        <is>
          <t>מחיר רשמי</t>
        </is>
      </c>
      <c r="E1" s="14" t="inlineStr">
        <is>
          <t>ספק</t>
        </is>
      </c>
      <c r="F1" s="14" t="inlineStr">
        <is>
          <t>מלאי זמין</t>
        </is>
      </c>
    </row>
    <row r="2" ht="15" customHeight="1" s="13">
      <c r="A2" s="18" t="inlineStr">
        <is>
          <t>P101</t>
        </is>
      </c>
      <c r="B2" s="19" t="inlineStr">
        <is>
          <t>מחשב נייד</t>
        </is>
      </c>
      <c r="C2" s="19" t="inlineStr">
        <is>
          <t>מחשוב</t>
        </is>
      </c>
      <c r="D2" s="20" t="n">
        <v>4500</v>
      </c>
      <c r="E2" s="19" t="inlineStr">
        <is>
          <t>טכנו-פלוס</t>
        </is>
      </c>
      <c r="F2" s="18" t="n">
        <v>45</v>
      </c>
    </row>
    <row r="3" ht="15" customHeight="1" s="13">
      <c r="A3" s="18" t="inlineStr">
        <is>
          <t>P102</t>
        </is>
      </c>
      <c r="B3" s="19" t="inlineStr">
        <is>
          <t>מסך 27 אינץ'</t>
        </is>
      </c>
      <c r="C3" s="19" t="inlineStr">
        <is>
          <t>מחשוב</t>
        </is>
      </c>
      <c r="D3" s="20" t="n">
        <v>1200</v>
      </c>
      <c r="E3" s="19" t="inlineStr">
        <is>
          <t>טכנו-פלוס</t>
        </is>
      </c>
      <c r="F3" s="18" t="n">
        <v>78</v>
      </c>
    </row>
    <row r="4" ht="15" customHeight="1" s="13">
      <c r="A4" s="18" t="inlineStr">
        <is>
          <t>P103</t>
        </is>
      </c>
      <c r="B4" s="19" t="inlineStr">
        <is>
          <t>מקלדת אלחוטית</t>
        </is>
      </c>
      <c r="C4" s="19" t="inlineStr">
        <is>
          <t>אביזרים</t>
        </is>
      </c>
      <c r="D4" s="20" t="n">
        <v>280</v>
      </c>
      <c r="E4" s="19" t="inlineStr">
        <is>
          <t>אקססורייז בע"מ</t>
        </is>
      </c>
      <c r="F4" s="18" t="n">
        <v>320</v>
      </c>
    </row>
    <row r="5" ht="15" customHeight="1" s="13">
      <c r="A5" s="18" t="inlineStr">
        <is>
          <t>P104</t>
        </is>
      </c>
      <c r="B5" s="19" t="inlineStr">
        <is>
          <t>עכבר אלחוטי</t>
        </is>
      </c>
      <c r="C5" s="19" t="inlineStr">
        <is>
          <t>אביזרים</t>
        </is>
      </c>
      <c r="D5" s="20" t="n">
        <v>120</v>
      </c>
      <c r="E5" s="19" t="inlineStr">
        <is>
          <t>אקססורייז בע"מ</t>
        </is>
      </c>
      <c r="F5" s="18" t="n">
        <v>512</v>
      </c>
    </row>
    <row r="6" ht="15" customHeight="1" s="13">
      <c r="A6" s="18" t="inlineStr">
        <is>
          <t>P105</t>
        </is>
      </c>
      <c r="B6" s="19" t="inlineStr">
        <is>
          <t>רמקולים</t>
        </is>
      </c>
      <c r="C6" s="19" t="inlineStr">
        <is>
          <t>אודיו</t>
        </is>
      </c>
      <c r="D6" s="20" t="n">
        <v>650</v>
      </c>
      <c r="E6" s="19" t="inlineStr">
        <is>
          <t>סאונד פרו</t>
        </is>
      </c>
      <c r="F6" s="18" t="n">
        <v>85</v>
      </c>
    </row>
    <row r="7" ht="15" customHeight="1" s="13">
      <c r="A7" s="18" t="inlineStr">
        <is>
          <t>P106</t>
        </is>
      </c>
      <c r="B7" s="19" t="inlineStr">
        <is>
          <t>כיסא משרדי</t>
        </is>
      </c>
      <c r="C7" s="19" t="inlineStr">
        <is>
          <t>ריהוט</t>
        </is>
      </c>
      <c r="D7" s="20" t="n">
        <v>850</v>
      </c>
      <c r="E7" s="19" t="inlineStr">
        <is>
          <t>משרד-פלוס</t>
        </is>
      </c>
      <c r="F7" s="18" t="n">
        <v>42</v>
      </c>
    </row>
    <row r="8" ht="15" customHeight="1" s="13">
      <c r="A8" s="18" t="inlineStr">
        <is>
          <t>P107</t>
        </is>
      </c>
      <c r="B8" s="19" t="inlineStr">
        <is>
          <t>מדפסת</t>
        </is>
      </c>
      <c r="C8" s="19" t="inlineStr">
        <is>
          <t>מחשוב</t>
        </is>
      </c>
      <c r="D8" s="20" t="n">
        <v>1800</v>
      </c>
      <c r="E8" s="19" t="inlineStr">
        <is>
          <t>טכנו-פלוס</t>
        </is>
      </c>
      <c r="F8" s="18" t="n">
        <v>28</v>
      </c>
    </row>
    <row r="9" ht="15" customHeight="1" s="13">
      <c r="A9" s="18" t="inlineStr">
        <is>
          <t>P108</t>
        </is>
      </c>
      <c r="B9" s="19" t="inlineStr">
        <is>
          <t>מצלמת רשת</t>
        </is>
      </c>
      <c r="C9" s="19" t="inlineStr">
        <is>
          <t>אביזרים</t>
        </is>
      </c>
      <c r="D9" s="20" t="n">
        <v>340</v>
      </c>
      <c r="E9" s="19" t="inlineStr">
        <is>
          <t>אקססורייז בע"מ</t>
        </is>
      </c>
      <c r="F9" s="18" t="n">
        <v>155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12" min="1" max="1"/>
    <col width="12" customWidth="1" style="12" min="2" max="2"/>
    <col width="18" customWidth="1" style="12" min="3" max="4"/>
    <col width="14" customWidth="1" style="12" min="5" max="5"/>
    <col width="10" customWidth="1" style="12" min="6" max="6"/>
  </cols>
  <sheetData>
    <row r="1" ht="27.75" customHeight="1" s="13">
      <c r="A1" s="14" t="inlineStr">
        <is>
          <t>שם איש מכירות</t>
        </is>
      </c>
      <c r="B1" s="14" t="inlineStr">
        <is>
          <t>אזור ראשי</t>
        </is>
      </c>
      <c r="C1" s="14" t="inlineStr">
        <is>
          <t>תפקיד</t>
        </is>
      </c>
      <c r="D1" s="14" t="inlineStr">
        <is>
          <t>תאריך תחילת עבודה</t>
        </is>
      </c>
      <c r="E1" s="14" t="inlineStr">
        <is>
          <t>יעד חודשי</t>
        </is>
      </c>
      <c r="F1" s="14" t="inlineStr">
        <is>
          <t>עמלה %</t>
        </is>
      </c>
    </row>
    <row r="2" ht="15" customHeight="1" s="13">
      <c r="A2" s="19" t="inlineStr">
        <is>
          <t>דניאל כהן</t>
        </is>
      </c>
      <c r="B2" s="19" t="inlineStr">
        <is>
          <t>צפון</t>
        </is>
      </c>
      <c r="C2" s="19" t="inlineStr">
        <is>
          <t>מנהל אזור</t>
        </is>
      </c>
      <c r="D2" s="21" t="inlineStr">
        <is>
          <t>2021-03-15</t>
        </is>
      </c>
      <c r="E2" s="20" t="n">
        <v>120000</v>
      </c>
      <c r="F2" s="22" t="n">
        <v>0.05</v>
      </c>
    </row>
    <row r="3" ht="15" customHeight="1" s="13">
      <c r="A3" s="19" t="inlineStr">
        <is>
          <t>רונית לוי</t>
        </is>
      </c>
      <c r="B3" s="19" t="inlineStr">
        <is>
          <t>מרכז</t>
        </is>
      </c>
      <c r="C3" s="19" t="inlineStr">
        <is>
          <t>איש מכירות בכיר</t>
        </is>
      </c>
      <c r="D3" s="21" t="inlineStr">
        <is>
          <t>2022-06-01</t>
        </is>
      </c>
      <c r="E3" s="20" t="n">
        <v>150000</v>
      </c>
      <c r="F3" s="22" t="n">
        <v>0.04</v>
      </c>
    </row>
    <row r="4" ht="15" customHeight="1" s="13">
      <c r="A4" s="19" t="inlineStr">
        <is>
          <t>אבי ישראלי</t>
        </is>
      </c>
      <c r="B4" s="19" t="inlineStr">
        <is>
          <t>דרום</t>
        </is>
      </c>
      <c r="C4" s="19" t="inlineStr">
        <is>
          <t>איש מכירות</t>
        </is>
      </c>
      <c r="D4" s="21" t="inlineStr">
        <is>
          <t>2023-01-10</t>
        </is>
      </c>
      <c r="E4" s="20" t="n">
        <v>90000</v>
      </c>
      <c r="F4" s="22" t="n">
        <v>0.035</v>
      </c>
    </row>
    <row r="5" ht="15" customHeight="1" s="13">
      <c r="A5" s="19" t="inlineStr">
        <is>
          <t>שירה בן-דוד</t>
        </is>
      </c>
      <c r="B5" s="19" t="inlineStr">
        <is>
          <t>ירושלים</t>
        </is>
      </c>
      <c r="C5" s="19" t="inlineStr">
        <is>
          <t>איש מכירות</t>
        </is>
      </c>
      <c r="D5" s="21" t="inlineStr">
        <is>
          <t>2022-09-20</t>
        </is>
      </c>
      <c r="E5" s="20" t="n">
        <v>100000</v>
      </c>
      <c r="F5" s="22" t="n">
        <v>0.04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2" min="1" max="1"/>
  </cols>
  <sheetData>
    <row r="1" ht="19.7" customHeight="1" s="13">
      <c r="A1" s="23" t="inlineStr">
        <is>
          <t>דוח ניתוח מכירות — גיליון תרגול</t>
        </is>
      </c>
    </row>
    <row r="3" ht="14.15" customHeight="1" s="13">
      <c r="A3" s="24" t="inlineStr">
        <is>
          <t>בגיליון הזה תבנו את הניתוח שלכם בעזרת Copilot.</t>
        </is>
      </c>
    </row>
    <row r="5" ht="15" customHeight="1" s="13">
      <c r="A5" s="25" t="inlineStr">
        <is>
          <t>הצעות למה לבקש מ-Copilot:</t>
        </is>
      </c>
    </row>
    <row r="7" ht="15" customHeight="1" s="13">
      <c r="A7" s="26" t="inlineStr">
        <is>
          <t>• סכם את המכירות לפי אזור — טבלה מרכזת של סכום סופי לכל אזור</t>
        </is>
      </c>
    </row>
    <row r="8" ht="15" customHeight="1" s="13">
      <c r="A8" s="26" t="inlineStr">
        <is>
          <t>• צור גרף עמודות המציג את ביצועי אנשי המכירות</t>
        </is>
      </c>
    </row>
    <row r="9" ht="14.15" customHeight="1" s="13">
      <c r="A9" s="26" t="inlineStr">
        <is>
          <t>• הוסף עמודה של VLOOKUP שמחזירה את קטגוריית המוצר מגיליון 'קטלוג מוצרים'</t>
        </is>
      </c>
    </row>
    <row r="10" ht="14.15" customHeight="1" s="13">
      <c r="A10" s="26" t="inlineStr">
        <is>
          <t>• חשב את העמלה שמגיעה לכל איש מכירות (סכום מכירות × אחוז עמלה)</t>
        </is>
      </c>
    </row>
    <row r="11" ht="15" customHeight="1" s="13">
      <c r="A11" s="26" t="inlineStr">
        <is>
          <t>• זהה את המוצר עם הרווחיות הגבוהה ביותר ברבעון הראשון</t>
        </is>
      </c>
    </row>
    <row r="12" ht="14.15" customHeight="1" s="13">
      <c r="A12" s="26" t="inlineStr">
        <is>
          <t>• צור טבלת ציר (Pivot) של מכירות לפי חודש ואזור</t>
        </is>
      </c>
    </row>
  </sheetData>
  <mergeCells count="8">
    <mergeCell ref="A11:F11"/>
    <mergeCell ref="A10:F10"/>
    <mergeCell ref="A1:F1"/>
    <mergeCell ref="A9:F9"/>
    <mergeCell ref="A8:F8"/>
    <mergeCell ref="A12:F12"/>
    <mergeCell ref="A3:F3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2026-04-14T19:11:24Z</dcterms:created>
  <dcterms:modified xmlns:dcterms="http://purl.org/dc/terms/" xmlns:xsi="http://www.w3.org/2001/XMLSchema-instance" xsi:type="dcterms:W3CDTF">2026-10-20T17:22:19Z</dcterms:modified>
  <cp:revision>0</cp:revision>
</cp:coreProperties>
</file>